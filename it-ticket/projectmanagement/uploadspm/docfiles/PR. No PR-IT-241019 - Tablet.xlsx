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\Downloads\"/>
    </mc:Choice>
  </mc:AlternateContent>
  <xr:revisionPtr revIDLastSave="0" documentId="13_ncr:1_{F651684D-16BE-4E10-A732-68F2A0ECD5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0-001" sheetId="1" r:id="rId1"/>
    <sheet name="USAGE" sheetId="2" r:id="rId2"/>
  </sheets>
  <definedNames>
    <definedName name="_xlnm.Print_Area" localSheetId="0">'2020-001'!$A$1:$F$27</definedName>
    <definedName name="_xlnm.Print_Area" localSheetId="1">USAGE!$A$1:$F$11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11" i="2"/>
  <c r="B6" i="2"/>
  <c r="B8" i="2"/>
  <c r="C10" i="2"/>
  <c r="B10" i="2"/>
  <c r="D10" i="2" s="1"/>
  <c r="E10" i="2" s="1"/>
  <c r="B9" i="2"/>
  <c r="B5" i="2"/>
  <c r="D5" i="2" s="1"/>
  <c r="E5" i="2" s="1"/>
  <c r="C6" i="2"/>
  <c r="C8" i="2"/>
  <c r="C11" i="2"/>
  <c r="D7" i="2"/>
  <c r="E7" i="2" s="1"/>
  <c r="D11" i="2" l="1"/>
  <c r="E11" i="2" s="1"/>
  <c r="D6" i="2"/>
  <c r="E6" i="2" s="1"/>
  <c r="D8" i="2"/>
  <c r="E8" i="2" s="1"/>
  <c r="D9" i="2"/>
  <c r="E9" i="2" s="1"/>
</calcChain>
</file>

<file path=xl/sharedStrings.xml><?xml version="1.0" encoding="utf-8"?>
<sst xmlns="http://schemas.openxmlformats.org/spreadsheetml/2006/main" count="36" uniqueCount="36">
  <si>
    <t xml:space="preserve">Universal Harvester Dairy Farms, Inc. </t>
  </si>
  <si>
    <t xml:space="preserve">11th Floor Rufino Tower Legaspi Village Makati City </t>
  </si>
  <si>
    <t xml:space="preserve">Tel. No. (02) 874-37783           </t>
  </si>
  <si>
    <t>PURCHASE REQUEST</t>
  </si>
  <si>
    <t>PR. No: PR-IT-241019</t>
  </si>
  <si>
    <r>
      <rPr>
        <b/>
        <sz val="11"/>
        <color rgb="FF000000"/>
        <rFont val="Calibri"/>
        <scheme val="minor"/>
      </rPr>
      <t>Date:</t>
    </r>
    <r>
      <rPr>
        <sz val="11"/>
        <color rgb="FF000000"/>
        <rFont val="Calibri"/>
        <scheme val="minor"/>
      </rPr>
      <t xml:space="preserve">  5/2/2025</t>
    </r>
  </si>
  <si>
    <t>Quantity</t>
  </si>
  <si>
    <t>Unit</t>
  </si>
  <si>
    <t>Description</t>
  </si>
  <si>
    <t>Specs</t>
  </si>
  <si>
    <t>Purpose</t>
  </si>
  <si>
    <t>Budget Allocation</t>
  </si>
  <si>
    <t>3 set</t>
  </si>
  <si>
    <t>PC for UHDFI logistics Hub.</t>
  </si>
  <si>
    <t>Requested By:</t>
  </si>
  <si>
    <t>Approved By:</t>
  </si>
  <si>
    <t>JIMMY F. FELIX / I.T</t>
  </si>
  <si>
    <t>MC AUSTINE PHILIP M. REDONDO</t>
  </si>
  <si>
    <t>Accounted Department / Business Unit</t>
  </si>
  <si>
    <t>STOCK STATUS</t>
  </si>
  <si>
    <t>As of September 05, 2022</t>
  </si>
  <si>
    <t>DESCRIPTION</t>
  </si>
  <si>
    <t>OH HAND (IN KG/PC)</t>
  </si>
  <si>
    <t>USAGE / MONTH</t>
  </si>
  <si>
    <t>MONTH TO LAST</t>
  </si>
  <si>
    <t>DAYS TO LAST</t>
  </si>
  <si>
    <t>REMARKS</t>
  </si>
  <si>
    <t>CACAO POWDER, FELCHLIN</t>
  </si>
  <si>
    <t>CHOCOLATE COATED MALTBALLS, MALTESSERS</t>
  </si>
  <si>
    <t>BOURBON VANILLA BEANS</t>
  </si>
  <si>
    <t>VEGETABLE OIL, EL CIELO</t>
  </si>
  <si>
    <t>OREO C/S/C VANILLA 12X2X133G</t>
  </si>
  <si>
    <t>VIETNAMESE COFFEE BEANS</t>
  </si>
  <si>
    <t>BONCAFE, BRAZILIAN COFFEE</t>
  </si>
  <si>
    <t>Samsung A9 Tablet</t>
  </si>
  <si>
    <r>
      <rPr>
        <b/>
        <sz val="8"/>
        <color theme="1"/>
        <rFont val="Calibri"/>
        <family val="2"/>
        <scheme val="minor"/>
      </rPr>
      <t>Processor</t>
    </r>
    <r>
      <rPr>
        <sz val="8"/>
        <color theme="1"/>
        <rFont val="Calibri"/>
        <family val="2"/>
        <scheme val="minor"/>
      </rPr>
      <t xml:space="preserve">: MediaTek Helio G99 (Octa-core: 2x2.2 GHz Cortex-A76 &amp; 6x2.0 GHz Cortex-A55)
</t>
    </r>
    <r>
      <rPr>
        <b/>
        <sz val="8"/>
        <color theme="1"/>
        <rFont val="Calibri"/>
        <family val="2"/>
        <scheme val="minor"/>
      </rPr>
      <t>RAM</t>
    </r>
    <r>
      <rPr>
        <sz val="8"/>
        <color theme="1"/>
        <rFont val="Calibri"/>
        <family val="2"/>
        <scheme val="minor"/>
      </rPr>
      <t xml:space="preserve">: 4GB or 8GB LPDDR4X
</t>
    </r>
    <r>
      <rPr>
        <b/>
        <sz val="8"/>
        <color theme="1"/>
        <rFont val="Calibri"/>
        <family val="2"/>
        <scheme val="minor"/>
      </rPr>
      <t>Storage</t>
    </r>
    <r>
      <rPr>
        <sz val="8"/>
        <color theme="1"/>
        <rFont val="Calibri"/>
        <family val="2"/>
        <scheme val="minor"/>
      </rPr>
      <t xml:space="preserve">: 64GB or 128GB, expandable up to 1TB via microSD card
</t>
    </r>
    <r>
      <rPr>
        <b/>
        <sz val="8"/>
        <color theme="1"/>
        <rFont val="Calibri"/>
        <family val="2"/>
        <scheme val="minor"/>
      </rPr>
      <t>Battery</t>
    </r>
    <r>
      <rPr>
        <sz val="8"/>
        <color theme="1"/>
        <rFont val="Calibri"/>
        <family val="2"/>
        <scheme val="minor"/>
      </rPr>
      <t xml:space="preserve">: 5,100 mAh, supports 15W wired charging
</t>
    </r>
    <r>
      <rPr>
        <b/>
        <sz val="8"/>
        <color theme="1"/>
        <rFont val="Calibri"/>
        <family val="2"/>
        <scheme val="minor"/>
      </rPr>
      <t>Operating System</t>
    </r>
    <r>
      <rPr>
        <sz val="8"/>
        <color theme="1"/>
        <rFont val="Calibri"/>
        <family val="2"/>
        <scheme val="minor"/>
      </rPr>
      <t>: Android 13 with One UI 5.1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</si>
</sst>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1"/>
      <name val="Arial Black"/>
      <family val="2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3" borderId="0" xfId="0" applyFill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0" fillId="3" borderId="1" xfId="0" applyFill="1" applyBorder="1" applyAlignment="1">
      <alignment vertical="center" wrapText="1"/>
    </xf>
    <xf numFmtId="0" fontId="4" fillId="0" borderId="0" xfId="0" applyFont="1" applyAlignment="1">
      <alignment vertical="top"/>
    </xf>
    <xf numFmtId="43" fontId="2" fillId="0" borderId="0" xfId="1" applyFont="1" applyAlignment="1">
      <alignment horizontal="left" wrapText="1"/>
    </xf>
    <xf numFmtId="43" fontId="0" fillId="0" borderId="0" xfId="1" applyFont="1" applyAlignment="1">
      <alignment vertical="top"/>
    </xf>
    <xf numFmtId="0" fontId="7" fillId="0" borderId="0" xfId="0" applyFont="1" applyAlignment="1">
      <alignment vertical="top"/>
    </xf>
    <xf numFmtId="43" fontId="1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3" fontId="0" fillId="3" borderId="1" xfId="1" applyFont="1" applyFill="1" applyBorder="1" applyAlignment="1">
      <alignment vertical="center" wrapText="1"/>
    </xf>
    <xf numFmtId="43" fontId="0" fillId="0" borderId="0" xfId="1" applyFont="1" applyAlignment="1">
      <alignment vertical="top" wrapText="1"/>
    </xf>
    <xf numFmtId="43" fontId="0" fillId="0" borderId="1" xfId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0" xfId="1" applyNumberFormat="1" applyFont="1" applyAlignment="1">
      <alignment vertical="top"/>
    </xf>
    <xf numFmtId="164" fontId="1" fillId="0" borderId="1" xfId="1" applyNumberFormat="1" applyFont="1" applyBorder="1" applyAlignment="1">
      <alignment horizontal="center" vertical="center" wrapText="1"/>
    </xf>
    <xf numFmtId="164" fontId="0" fillId="3" borderId="1" xfId="1" applyNumberFormat="1" applyFont="1" applyFill="1" applyBorder="1" applyAlignment="1">
      <alignment vertical="center" wrapText="1"/>
    </xf>
    <xf numFmtId="164" fontId="0" fillId="0" borderId="0" xfId="1" applyNumberFormat="1" applyFont="1" applyAlignment="1">
      <alignment vertical="top" wrapText="1"/>
    </xf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8" fillId="0" borderId="0" xfId="0" applyFont="1"/>
    <xf numFmtId="0" fontId="9" fillId="3" borderId="0" xfId="0" applyFont="1" applyFill="1" applyAlignment="1">
      <alignment vertical="center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9" fillId="0" borderId="1" xfId="0" applyFont="1" applyBorder="1" applyAlignment="1">
      <alignment vertical="center" wrapText="1"/>
    </xf>
    <xf numFmtId="43" fontId="9" fillId="0" borderId="1" xfId="1" quotePrefix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37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1</xdr:col>
      <xdr:colOff>400050</xdr:colOff>
      <xdr:row>5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23F758-1353-BEA2-3BC0-530685EEF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66675"/>
          <a:ext cx="981075" cy="942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7"/>
  <sheetViews>
    <sheetView showGridLines="0" tabSelected="1" zoomScale="106" zoomScaleNormal="100" workbookViewId="0">
      <selection activeCell="I12" sqref="I12"/>
    </sheetView>
  </sheetViews>
  <sheetFormatPr defaultColWidth="8.7109375" defaultRowHeight="15" x14ac:dyDescent="0.25"/>
  <cols>
    <col min="1" max="1" width="11.28515625" style="1" customWidth="1"/>
    <col min="2" max="2" width="10.28515625" style="1" customWidth="1"/>
    <col min="3" max="4" width="17.5703125" style="2" customWidth="1"/>
    <col min="5" max="5" width="24.28515625" style="1" customWidth="1"/>
    <col min="6" max="6" width="15.7109375" style="1" customWidth="1"/>
    <col min="7" max="7" width="13.7109375" style="1" customWidth="1"/>
    <col min="8" max="9" width="8.7109375" style="1"/>
    <col min="10" max="10" width="12.7109375" style="1" bestFit="1" customWidth="1"/>
    <col min="11" max="16384" width="8.7109375" style="1"/>
  </cols>
  <sheetData>
    <row r="1" spans="1:7" s="2" customFormat="1" x14ac:dyDescent="0.25">
      <c r="A1" s="1"/>
      <c r="B1" s="5"/>
      <c r="G1" s="1"/>
    </row>
    <row r="2" spans="1:7" s="2" customFormat="1" x14ac:dyDescent="0.25">
      <c r="A2" s="1"/>
      <c r="C2" s="16" t="s">
        <v>0</v>
      </c>
      <c r="E2" s="1"/>
      <c r="G2" s="1"/>
    </row>
    <row r="3" spans="1:7" s="2" customFormat="1" x14ac:dyDescent="0.25">
      <c r="A3" s="1"/>
      <c r="C3" s="35" t="s">
        <v>1</v>
      </c>
      <c r="D3" s="35"/>
      <c r="E3" s="1"/>
      <c r="G3" s="3"/>
    </row>
    <row r="4" spans="1:7" s="2" customFormat="1" x14ac:dyDescent="0.25">
      <c r="A4" s="1"/>
      <c r="C4" s="35" t="s">
        <v>2</v>
      </c>
      <c r="D4" s="35"/>
      <c r="E4" s="3"/>
      <c r="G4" s="3"/>
    </row>
    <row r="5" spans="1:7" s="2" customFormat="1" x14ac:dyDescent="0.25">
      <c r="A5" s="1"/>
      <c r="B5" s="1"/>
      <c r="G5" s="4"/>
    </row>
    <row r="6" spans="1:7" s="2" customFormat="1" x14ac:dyDescent="0.25">
      <c r="A6" s="1"/>
      <c r="B6" s="1"/>
      <c r="G6" s="4"/>
    </row>
    <row r="7" spans="1:7" s="2" customFormat="1" x14ac:dyDescent="0.2">
      <c r="A7" s="1"/>
      <c r="B7" s="1"/>
      <c r="F7" s="6"/>
      <c r="G7" s="4"/>
    </row>
    <row r="8" spans="1:7" s="2" customFormat="1" ht="28.5" customHeight="1" x14ac:dyDescent="0.25">
      <c r="A8" s="7" t="s">
        <v>3</v>
      </c>
      <c r="B8" s="8"/>
      <c r="C8" s="8"/>
      <c r="D8" s="8"/>
      <c r="E8" s="8"/>
      <c r="F8" s="15" t="s">
        <v>4</v>
      </c>
      <c r="G8" s="9"/>
    </row>
    <row r="9" spans="1:7" s="2" customFormat="1" ht="28.5" customHeight="1" x14ac:dyDescent="0.2">
      <c r="A9" s="7"/>
      <c r="B9" s="8"/>
      <c r="C9" s="8"/>
      <c r="D9" s="8"/>
      <c r="E9" s="8"/>
      <c r="F9" s="46" t="s">
        <v>5</v>
      </c>
      <c r="G9" s="9"/>
    </row>
    <row r="10" spans="1:7" s="2" customFormat="1" ht="28.5" customHeight="1" x14ac:dyDescent="0.2">
      <c r="A10" s="7"/>
      <c r="B10" s="8"/>
      <c r="C10" s="8"/>
      <c r="D10" s="8"/>
      <c r="E10" s="8"/>
      <c r="F10" s="34"/>
      <c r="G10" s="9"/>
    </row>
    <row r="11" spans="1:7" s="12" customFormat="1" ht="36" customHeight="1" x14ac:dyDescent="0.25">
      <c r="A11" s="10" t="s">
        <v>6</v>
      </c>
      <c r="B11" s="10" t="s">
        <v>7</v>
      </c>
      <c r="C11" s="11" t="s">
        <v>8</v>
      </c>
      <c r="D11" s="11" t="s">
        <v>9</v>
      </c>
      <c r="E11" s="10" t="s">
        <v>10</v>
      </c>
      <c r="F11" s="10" t="s">
        <v>11</v>
      </c>
    </row>
    <row r="12" spans="1:7" s="36" customFormat="1" ht="168.75" x14ac:dyDescent="0.25">
      <c r="A12" s="44" t="s">
        <v>12</v>
      </c>
      <c r="B12" s="45">
        <v>1</v>
      </c>
      <c r="C12" s="45" t="s">
        <v>34</v>
      </c>
      <c r="D12" s="41" t="s">
        <v>35</v>
      </c>
      <c r="E12" s="43" t="s">
        <v>13</v>
      </c>
      <c r="F12" s="42"/>
    </row>
    <row r="13" spans="1:7" s="37" customFormat="1" ht="11.25" x14ac:dyDescent="0.25"/>
    <row r="14" spans="1:7" x14ac:dyDescent="0.25">
      <c r="A14" s="39" t="s">
        <v>14</v>
      </c>
      <c r="E14" s="39" t="s">
        <v>15</v>
      </c>
    </row>
    <row r="15" spans="1:7" x14ac:dyDescent="0.25">
      <c r="A15" s="39"/>
      <c r="E15" s="39"/>
    </row>
    <row r="16" spans="1:7" x14ac:dyDescent="0.25">
      <c r="A16" s="39"/>
      <c r="E16" s="39"/>
    </row>
    <row r="17" spans="1:6" x14ac:dyDescent="0.25">
      <c r="A17" s="40"/>
      <c r="E17" s="40"/>
    </row>
    <row r="18" spans="1:6" x14ac:dyDescent="0.25">
      <c r="A18" s="47" t="s">
        <v>16</v>
      </c>
      <c r="B18" s="47"/>
      <c r="C18" s="47"/>
      <c r="E18" s="47" t="s">
        <v>17</v>
      </c>
      <c r="F18" s="47"/>
    </row>
    <row r="19" spans="1:6" x14ac:dyDescent="0.25">
      <c r="A19" s="48" t="s">
        <v>18</v>
      </c>
      <c r="B19" s="48"/>
      <c r="C19" s="48"/>
      <c r="E19" s="16"/>
    </row>
    <row r="20" spans="1:6" x14ac:dyDescent="0.25">
      <c r="A20" s="2"/>
      <c r="B20" s="2"/>
    </row>
    <row r="39" spans="3:4" s="37" customFormat="1" ht="11.25" x14ac:dyDescent="0.25">
      <c r="C39" s="38"/>
      <c r="D39" s="38"/>
    </row>
    <row r="40" spans="3:4" s="37" customFormat="1" ht="11.25" x14ac:dyDescent="0.25">
      <c r="C40" s="38"/>
      <c r="D40" s="38"/>
    </row>
    <row r="41" spans="3:4" s="37" customFormat="1" ht="11.25" x14ac:dyDescent="0.25">
      <c r="C41" s="38"/>
      <c r="D41" s="38"/>
    </row>
    <row r="42" spans="3:4" s="37" customFormat="1" ht="11.25" x14ac:dyDescent="0.25">
      <c r="C42" s="38"/>
      <c r="D42" s="38"/>
    </row>
    <row r="43" spans="3:4" s="37" customFormat="1" ht="11.25" x14ac:dyDescent="0.25">
      <c r="C43" s="38"/>
      <c r="D43" s="38"/>
    </row>
    <row r="44" spans="3:4" s="37" customFormat="1" ht="11.25" x14ac:dyDescent="0.25">
      <c r="C44" s="38"/>
      <c r="D44" s="38"/>
    </row>
    <row r="45" spans="3:4" s="37" customFormat="1" ht="11.25" x14ac:dyDescent="0.25">
      <c r="C45" s="38"/>
      <c r="D45" s="38"/>
    </row>
    <row r="46" spans="3:4" s="37" customFormat="1" ht="11.25" x14ac:dyDescent="0.25">
      <c r="C46" s="38"/>
      <c r="D46" s="38"/>
    </row>
    <row r="47" spans="3:4" s="37" customFormat="1" ht="11.25" x14ac:dyDescent="0.25">
      <c r="C47" s="38"/>
      <c r="D47" s="38"/>
    </row>
    <row r="48" spans="3:4" s="37" customFormat="1" ht="11.25" x14ac:dyDescent="0.25">
      <c r="C48" s="38"/>
      <c r="D48" s="38"/>
    </row>
    <row r="49" spans="3:4" s="37" customFormat="1" ht="11.25" x14ac:dyDescent="0.25">
      <c r="C49" s="38"/>
      <c r="D49" s="38"/>
    </row>
    <row r="50" spans="3:4" s="37" customFormat="1" ht="11.25" x14ac:dyDescent="0.25">
      <c r="C50" s="38"/>
      <c r="D50" s="38"/>
    </row>
    <row r="51" spans="3:4" s="37" customFormat="1" ht="11.25" x14ac:dyDescent="0.25">
      <c r="C51" s="38"/>
      <c r="D51" s="38"/>
    </row>
    <row r="52" spans="3:4" s="37" customFormat="1" ht="11.25" x14ac:dyDescent="0.25">
      <c r="C52" s="38"/>
      <c r="D52" s="38"/>
    </row>
    <row r="53" spans="3:4" s="37" customFormat="1" ht="11.25" x14ac:dyDescent="0.25">
      <c r="C53" s="38"/>
      <c r="D53" s="38"/>
    </row>
    <row r="54" spans="3:4" s="37" customFormat="1" ht="11.25" x14ac:dyDescent="0.25">
      <c r="C54" s="38"/>
      <c r="D54" s="38"/>
    </row>
    <row r="55" spans="3:4" s="37" customFormat="1" ht="11.25" x14ac:dyDescent="0.25">
      <c r="C55" s="38"/>
      <c r="D55" s="38"/>
    </row>
    <row r="56" spans="3:4" s="37" customFormat="1" ht="11.25" x14ac:dyDescent="0.25">
      <c r="C56" s="38"/>
      <c r="D56" s="38"/>
    </row>
    <row r="57" spans="3:4" s="37" customFormat="1" ht="11.25" x14ac:dyDescent="0.25">
      <c r="C57" s="38"/>
      <c r="D57" s="38"/>
    </row>
  </sheetData>
  <mergeCells count="3">
    <mergeCell ref="E18:F18"/>
    <mergeCell ref="A19:C19"/>
    <mergeCell ref="A18:C18"/>
  </mergeCells>
  <pageMargins left="0.25" right="0.25" top="0.75" bottom="0.75" header="0.3" footer="0.3"/>
  <pageSetup paperSize="9" orientation="portrait" blackAndWhite="1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638A-9504-4E95-8FCA-7B3BEF267D03}">
  <sheetPr>
    <pageSetUpPr fitToPage="1"/>
  </sheetPr>
  <dimension ref="A1:F11"/>
  <sheetViews>
    <sheetView showGridLines="0" zoomScale="115" zoomScaleNormal="115" workbookViewId="0">
      <pane xSplit="8" ySplit="15" topLeftCell="I16" activePane="bottomRight" state="frozen"/>
      <selection pane="topRight" activeCell="I1" sqref="I1"/>
      <selection pane="bottomLeft" activeCell="A15" sqref="A15"/>
      <selection pane="bottomRight" activeCell="A27" sqref="A27"/>
    </sheetView>
  </sheetViews>
  <sheetFormatPr defaultColWidth="8.7109375" defaultRowHeight="15" x14ac:dyDescent="0.25"/>
  <cols>
    <col min="1" max="1" width="43.28515625" style="2" customWidth="1"/>
    <col min="2" max="2" width="12.5703125" style="26" customWidth="1"/>
    <col min="3" max="3" width="10.7109375" style="26" customWidth="1"/>
    <col min="4" max="4" width="9.5703125" style="26" customWidth="1"/>
    <col min="5" max="5" width="9.42578125" style="32" customWidth="1"/>
    <col min="6" max="6" width="24" style="1" customWidth="1"/>
    <col min="7" max="16384" width="8.7109375" style="1"/>
  </cols>
  <sheetData>
    <row r="1" spans="1:6" s="2" customFormat="1" ht="28.5" customHeight="1" x14ac:dyDescent="0.2">
      <c r="A1" s="18" t="s">
        <v>19</v>
      </c>
      <c r="B1" s="19"/>
      <c r="C1" s="20"/>
      <c r="D1" s="20"/>
      <c r="E1" s="29"/>
    </row>
    <row r="2" spans="1:6" s="2" customFormat="1" ht="28.5" customHeight="1" x14ac:dyDescent="0.2">
      <c r="A2" s="21" t="s">
        <v>20</v>
      </c>
      <c r="B2" s="19"/>
      <c r="C2" s="20"/>
      <c r="D2" s="20"/>
      <c r="E2" s="29"/>
    </row>
    <row r="3" spans="1:6" s="2" customFormat="1" ht="28.5" customHeight="1" x14ac:dyDescent="0.2">
      <c r="A3" s="18"/>
      <c r="B3" s="19"/>
      <c r="C3" s="20"/>
      <c r="D3" s="20"/>
      <c r="E3" s="29"/>
    </row>
    <row r="4" spans="1:6" s="24" customFormat="1" ht="36" customHeight="1" x14ac:dyDescent="0.25">
      <c r="A4" s="22" t="s">
        <v>21</v>
      </c>
      <c r="B4" s="22" t="s">
        <v>22</v>
      </c>
      <c r="C4" s="22" t="s">
        <v>23</v>
      </c>
      <c r="D4" s="22" t="s">
        <v>24</v>
      </c>
      <c r="E4" s="30" t="s">
        <v>25</v>
      </c>
      <c r="F4" s="23" t="s">
        <v>26</v>
      </c>
    </row>
    <row r="5" spans="1:6" s="13" customFormat="1" ht="21.75" customHeight="1" x14ac:dyDescent="0.25">
      <c r="A5" s="14" t="s">
        <v>27</v>
      </c>
      <c r="B5" s="25">
        <f>54</f>
        <v>54</v>
      </c>
      <c r="C5" s="25">
        <v>55</v>
      </c>
      <c r="D5" s="25">
        <f>B5/C5</f>
        <v>0.98181818181818181</v>
      </c>
      <c r="E5" s="31">
        <f>D5*26</f>
        <v>25.527272727272727</v>
      </c>
      <c r="F5" s="17"/>
    </row>
    <row r="6" spans="1:6" s="13" customFormat="1" ht="21.75" customHeight="1" x14ac:dyDescent="0.25">
      <c r="A6" s="33" t="s">
        <v>28</v>
      </c>
      <c r="B6" s="25">
        <f>32*0.15</f>
        <v>4.8</v>
      </c>
      <c r="C6" s="25">
        <f>50*0.15</f>
        <v>7.5</v>
      </c>
      <c r="D6" s="25">
        <f t="shared" ref="D6:D8" si="0">B6/C6</f>
        <v>0.64</v>
      </c>
      <c r="E6" s="31">
        <f t="shared" ref="E6:E8" si="1">D6*26</f>
        <v>16.64</v>
      </c>
      <c r="F6" s="17"/>
    </row>
    <row r="7" spans="1:6" s="13" customFormat="1" ht="21.75" customHeight="1" x14ac:dyDescent="0.25">
      <c r="A7" s="33" t="s">
        <v>29</v>
      </c>
      <c r="B7" s="25">
        <v>3</v>
      </c>
      <c r="C7" s="25">
        <v>6</v>
      </c>
      <c r="D7" s="25">
        <f t="shared" si="0"/>
        <v>0.5</v>
      </c>
      <c r="E7" s="31">
        <f t="shared" si="1"/>
        <v>13</v>
      </c>
      <c r="F7" s="17"/>
    </row>
    <row r="8" spans="1:6" s="13" customFormat="1" ht="21.75" customHeight="1" x14ac:dyDescent="0.25">
      <c r="A8" s="33" t="s">
        <v>30</v>
      </c>
      <c r="B8" s="25">
        <f>5*16</f>
        <v>80</v>
      </c>
      <c r="C8" s="25">
        <f>8*16</f>
        <v>128</v>
      </c>
      <c r="D8" s="25">
        <f t="shared" si="0"/>
        <v>0.625</v>
      </c>
      <c r="E8" s="31">
        <f t="shared" si="1"/>
        <v>16.25</v>
      </c>
      <c r="F8" s="17"/>
    </row>
    <row r="9" spans="1:6" ht="21.75" customHeight="1" x14ac:dyDescent="0.25">
      <c r="A9" s="33" t="s">
        <v>31</v>
      </c>
      <c r="B9" s="27">
        <f>11*(12*2*0.133)</f>
        <v>35.112000000000002</v>
      </c>
      <c r="C9" s="27">
        <f>16*(12*2*0.133)</f>
        <v>51.072000000000003</v>
      </c>
      <c r="D9" s="25">
        <f t="shared" ref="D9:D11" si="2">B9/C9</f>
        <v>0.6875</v>
      </c>
      <c r="E9" s="31">
        <f t="shared" ref="E9:E11" si="3">D9*26</f>
        <v>17.875</v>
      </c>
      <c r="F9" s="28"/>
    </row>
    <row r="10" spans="1:6" ht="21.75" customHeight="1" x14ac:dyDescent="0.25">
      <c r="A10" s="33" t="s">
        <v>32</v>
      </c>
      <c r="B10" s="27">
        <f>7*2</f>
        <v>14</v>
      </c>
      <c r="C10" s="27">
        <f>16*2</f>
        <v>32</v>
      </c>
      <c r="D10" s="25">
        <f t="shared" si="2"/>
        <v>0.4375</v>
      </c>
      <c r="E10" s="31">
        <f t="shared" si="3"/>
        <v>11.375</v>
      </c>
      <c r="F10" s="28"/>
    </row>
    <row r="11" spans="1:6" ht="21.75" customHeight="1" x14ac:dyDescent="0.25">
      <c r="A11" s="33" t="s">
        <v>33</v>
      </c>
      <c r="B11" s="27">
        <f>20*0.2</f>
        <v>4</v>
      </c>
      <c r="C11" s="27">
        <f>36*0.2</f>
        <v>7.2</v>
      </c>
      <c r="D11" s="25">
        <f t="shared" si="2"/>
        <v>0.55555555555555558</v>
      </c>
      <c r="E11" s="31">
        <f t="shared" si="3"/>
        <v>14.444444444444445</v>
      </c>
      <c r="F11" s="28"/>
    </row>
  </sheetData>
  <pageMargins left="0.25" right="0.25" top="0.75" bottom="0.75" header="0.3" footer="0.3"/>
  <pageSetup paperSize="9" scale="9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2020-001</vt:lpstr>
      <vt:lpstr>USAGE</vt:lpstr>
      <vt:lpstr>'2020-001'!Print_Area</vt:lpstr>
      <vt:lpstr>USAGE!Print_Area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Carmen's Best</dc:creator>
  <cp:keywords/>
  <dc:description/>
  <cp:lastModifiedBy>Ken Juvic P. Marasigan</cp:lastModifiedBy>
  <cp:revision/>
  <dcterms:created xsi:type="dcterms:W3CDTF">2017-05-31T11:03:04Z</dcterms:created>
  <dcterms:modified xsi:type="dcterms:W3CDTF">2025-05-06T03:20:11Z</dcterms:modified>
  <cp:category/>
  <cp:contentStatus/>
</cp:coreProperties>
</file>