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85FD7A37-8AD5-4FEE-8F8A-98D160EC927C}" xr6:coauthVersionLast="47" xr6:coauthVersionMax="47" xr10:uidLastSave="{00000000-0000-0000-0000-000000000000}"/>
  <bookViews>
    <workbookView xWindow="-120" yWindow="-120" windowWidth="29040" windowHeight="15720" xr2:uid="{AB8A302E-952D-4E3A-B0C9-6462CF752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</calcChain>
</file>

<file path=xl/sharedStrings.xml><?xml version="1.0" encoding="utf-8"?>
<sst xmlns="http://schemas.openxmlformats.org/spreadsheetml/2006/main" count="68" uniqueCount="51">
  <si>
    <t>LOADING AREA</t>
  </si>
  <si>
    <t>PACKING AREA</t>
  </si>
  <si>
    <t>Media Converter</t>
  </si>
  <si>
    <t>Ms. Mich AREA</t>
  </si>
  <si>
    <t>DESTINATION AREA</t>
  </si>
  <si>
    <t>WAREHOUSE AREA</t>
  </si>
  <si>
    <t>ELECTRIC BOX</t>
  </si>
  <si>
    <t>Ms. Mich</t>
  </si>
  <si>
    <t>TOOLS/ ITEMS NEEDED</t>
  </si>
  <si>
    <t>CONNECTION TYPE</t>
  </si>
  <si>
    <t>WIRELESS</t>
  </si>
  <si>
    <t>OFFICE A AREA</t>
  </si>
  <si>
    <t>WIRED FOC</t>
  </si>
  <si>
    <t>OFFICE B AREA</t>
  </si>
  <si>
    <t>QTY.</t>
  </si>
  <si>
    <t>5 set</t>
  </si>
  <si>
    <t>1pcs.</t>
  </si>
  <si>
    <t>* Rack Server Cabinet (mid size) - 1 switch</t>
  </si>
  <si>
    <t xml:space="preserve">Router - nat/vlan compatible </t>
  </si>
  <si>
    <t>* 1 ROUTER - 2 Antennas (Wireless bridge)</t>
  </si>
  <si>
    <t>bundle (depends on the length).</t>
  </si>
  <si>
    <t xml:space="preserve">LAYOUT </t>
  </si>
  <si>
    <t>* FO Cable 
* Fiber Cleaver 
* 1 Media Converter 
* 1 Access Point</t>
  </si>
  <si>
    <t>1 pcs.</t>
  </si>
  <si>
    <t>Access Point</t>
  </si>
  <si>
    <t>6 pcs.</t>
  </si>
  <si>
    <t xml:space="preserve">ISP </t>
  </si>
  <si>
    <t>Conduit</t>
  </si>
  <si>
    <t>Switch - 24 ports / vlan / bridge</t>
  </si>
  <si>
    <t>2 pcs. Mid size</t>
  </si>
  <si>
    <t>1 Pack</t>
  </si>
  <si>
    <t>Repeater</t>
  </si>
  <si>
    <t>FOC</t>
  </si>
  <si>
    <t>TPLINK</t>
  </si>
  <si>
    <t>RG-EW3000GX 
AX3000 Dual-Band Gigabit Wi-Fi 6 Router</t>
  </si>
  <si>
    <t>5 pcs.</t>
  </si>
  <si>
    <t>UNIT PRICE</t>
  </si>
  <si>
    <t>TOTAL PRICE</t>
  </si>
  <si>
    <t>`</t>
  </si>
  <si>
    <t xml:space="preserve">RJ-45-PT RJ45 CAT5E/CAT6 </t>
  </si>
  <si>
    <t xml:space="preserve">Generic RB100 RJ45 Rubber Boot  </t>
  </si>
  <si>
    <t>TL-SG3428X-M2 | JetStream 24-Port 2.5GBASE-T L2+ Managed Switch w/ 4 10GE SFP+ Slots Desktop Network Ethernet Switch Hub for Internet</t>
  </si>
  <si>
    <t>Roll ADLink UTP Cable cat 6-
Data Cable</t>
  </si>
  <si>
    <t>2 rolls</t>
  </si>
  <si>
    <t>TP-LINK Archer AX55 AX3000 Dual Band Gigabit Wi-Fi 6 Router/ 2402 Mbps on 5 GHz and 574 Mbps on 2.4 GHz band</t>
  </si>
  <si>
    <t>TP-Link RE705X AX3000 Wi-Fi 6 Range Extender</t>
  </si>
  <si>
    <t>Other</t>
  </si>
  <si>
    <t>StarTech.com 10/100 VDSL2 Ethernet Extender Kit Over Single Pair Wire, Long Range Repeater, Replaced by VDSL-LAN-EXTENDER-1G</t>
  </si>
  <si>
    <t>$400</t>
  </si>
  <si>
    <t>RG-EG1510XS datasheet</t>
  </si>
  <si>
    <t>6U 6-Layer Wallmounted Data Cabinet / Server Rack W=600 x D=450mm H=1Ft (DISASSEMBLED)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</si>
</sst>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₱&quot;#,##0.00;[Red]\-&quot;₱&quot;#,##0.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8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left" vertical="top"/>
    </xf>
    <xf numFmtId="0" fontId="2" fillId="2" borderId="0" xfId="0" applyFont="1" applyFill="1" applyAlignment="1">
      <alignment horizontal="center"/>
    </xf>
    <xf numFmtId="8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</xdr:row>
      <xdr:rowOff>22371</xdr:rowOff>
    </xdr:from>
    <xdr:to>
      <xdr:col>28</xdr:col>
      <xdr:colOff>596621</xdr:colOff>
      <xdr:row>21</xdr:row>
      <xdr:rowOff>71123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BEFD1-BF2C-040B-1DCE-28070E93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01539" y="210778"/>
          <a:ext cx="11524203" cy="708259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8AF4-62F6-4842-ABEA-F9BEB333BA40}">
  <dimension ref="A1:AC21"/>
  <sheetViews>
    <sheetView tabSelected="1" topLeftCell="A5" zoomScale="108" workbookViewId="0">
      <selection activeCell="C22" sqref="C22"/>
    </sheetView>
  </sheetViews>
  <sheetFormatPr defaultRowHeight="15" x14ac:dyDescent="0.25"/>
  <cols>
    <col min="1" max="1" width="88.28515625" bestFit="1" customWidth="1"/>
    <col min="2" max="2" width="28.5703125" bestFit="1" customWidth="1"/>
    <col min="3" max="3" width="104.42578125" bestFit="1" customWidth="1"/>
    <col min="4" max="4" width="20.42578125" bestFit="1" customWidth="1"/>
    <col min="5" max="5" width="27.28515625" customWidth="1"/>
    <col min="6" max="6" width="27.85546875" bestFit="1" customWidth="1"/>
    <col min="7" max="7" width="22.42578125" customWidth="1"/>
    <col min="8" max="8" width="14.42578125" customWidth="1"/>
    <col min="9" max="9" width="18.7109375" bestFit="1" customWidth="1"/>
  </cols>
  <sheetData>
    <row r="1" spans="1:29" x14ac:dyDescent="0.25">
      <c r="A1" s="2" t="s">
        <v>26</v>
      </c>
      <c r="B1" s="2" t="s">
        <v>4</v>
      </c>
      <c r="C1" s="2" t="s">
        <v>8</v>
      </c>
      <c r="D1" s="2" t="s">
        <v>9</v>
      </c>
      <c r="G1" s="9"/>
      <c r="H1" s="9"/>
      <c r="I1" s="9"/>
      <c r="J1" s="9"/>
      <c r="K1" s="20" t="s">
        <v>21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5" t="s">
        <v>6</v>
      </c>
      <c r="B2" s="5" t="s">
        <v>7</v>
      </c>
      <c r="C2" s="5" t="s">
        <v>17</v>
      </c>
      <c r="D2" s="3" t="s">
        <v>12</v>
      </c>
      <c r="F2" s="4"/>
      <c r="G2" s="4"/>
    </row>
    <row r="3" spans="1:29" ht="60" x14ac:dyDescent="0.25">
      <c r="A3" s="5" t="s">
        <v>3</v>
      </c>
      <c r="B3" s="5" t="s">
        <v>0</v>
      </c>
      <c r="C3" s="6" t="s">
        <v>22</v>
      </c>
      <c r="D3" s="3" t="s">
        <v>12</v>
      </c>
      <c r="G3" s="1"/>
    </row>
    <row r="4" spans="1:29" ht="60" x14ac:dyDescent="0.25">
      <c r="A4" s="5" t="s">
        <v>3</v>
      </c>
      <c r="B4" s="5" t="s">
        <v>5</v>
      </c>
      <c r="C4" s="6" t="s">
        <v>22</v>
      </c>
      <c r="D4" s="3" t="s">
        <v>12</v>
      </c>
      <c r="G4" s="1"/>
    </row>
    <row r="5" spans="1:29" ht="60" x14ac:dyDescent="0.25">
      <c r="A5" s="5" t="s">
        <v>3</v>
      </c>
      <c r="B5" s="5" t="s">
        <v>1</v>
      </c>
      <c r="C5" s="6" t="s">
        <v>22</v>
      </c>
      <c r="D5" s="3" t="s">
        <v>12</v>
      </c>
      <c r="G5" s="1"/>
    </row>
    <row r="6" spans="1:29" ht="60" x14ac:dyDescent="0.25">
      <c r="A6" s="5" t="s">
        <v>3</v>
      </c>
      <c r="B6" s="5" t="s">
        <v>13</v>
      </c>
      <c r="C6" s="6" t="s">
        <v>22</v>
      </c>
      <c r="D6" s="3" t="s">
        <v>12</v>
      </c>
    </row>
    <row r="7" spans="1:29" x14ac:dyDescent="0.25">
      <c r="A7" s="5" t="s">
        <v>3</v>
      </c>
      <c r="B7" s="5" t="s">
        <v>11</v>
      </c>
      <c r="C7" s="7" t="s">
        <v>19</v>
      </c>
      <c r="D7" s="3" t="s">
        <v>10</v>
      </c>
    </row>
    <row r="8" spans="1:29" x14ac:dyDescent="0.25">
      <c r="H8" s="1"/>
    </row>
    <row r="9" spans="1:29" x14ac:dyDescent="0.25">
      <c r="C9" s="1"/>
      <c r="D9" s="1"/>
      <c r="H9" s="1"/>
    </row>
    <row r="10" spans="1:29" x14ac:dyDescent="0.25">
      <c r="A10" s="2" t="s">
        <v>8</v>
      </c>
      <c r="B10" s="8" t="s">
        <v>14</v>
      </c>
      <c r="C10" s="10" t="s">
        <v>33</v>
      </c>
      <c r="D10" s="11" t="s">
        <v>36</v>
      </c>
      <c r="E10" s="10" t="s">
        <v>37</v>
      </c>
      <c r="G10" s="12" t="s">
        <v>46</v>
      </c>
      <c r="H10" s="13" t="s">
        <v>36</v>
      </c>
      <c r="I10" s="13" t="s">
        <v>37</v>
      </c>
    </row>
    <row r="11" spans="1:29" x14ac:dyDescent="0.25">
      <c r="A11" s="14" t="s">
        <v>32</v>
      </c>
      <c r="B11" s="15" t="s">
        <v>20</v>
      </c>
      <c r="C11" s="15"/>
      <c r="D11" s="15"/>
      <c r="G11" s="15"/>
      <c r="H11" s="15"/>
    </row>
    <row r="12" spans="1:29" ht="30" x14ac:dyDescent="0.25">
      <c r="A12" s="18" t="s">
        <v>42</v>
      </c>
      <c r="B12" s="15" t="s">
        <v>43</v>
      </c>
      <c r="C12" s="16"/>
      <c r="D12" s="17">
        <v>6000</v>
      </c>
      <c r="E12" s="17">
        <v>12000</v>
      </c>
      <c r="G12" s="15"/>
      <c r="H12" s="15"/>
    </row>
    <row r="13" spans="1:29" x14ac:dyDescent="0.25">
      <c r="A13" s="14" t="s">
        <v>27</v>
      </c>
      <c r="B13" s="15" t="s">
        <v>20</v>
      </c>
      <c r="C13" s="15"/>
      <c r="D13" s="15"/>
      <c r="G13" s="15"/>
      <c r="H13" s="15"/>
    </row>
    <row r="14" spans="1:29" x14ac:dyDescent="0.25">
      <c r="A14" s="14" t="s">
        <v>2</v>
      </c>
      <c r="B14" s="15" t="s">
        <v>15</v>
      </c>
      <c r="C14" s="15"/>
      <c r="D14" s="15"/>
      <c r="G14" s="15"/>
      <c r="H14" s="15"/>
    </row>
    <row r="15" spans="1:29" ht="30" x14ac:dyDescent="0.25">
      <c r="A15" s="14" t="s">
        <v>18</v>
      </c>
      <c r="B15" s="15" t="s">
        <v>23</v>
      </c>
      <c r="C15" s="14" t="s">
        <v>44</v>
      </c>
      <c r="D15" s="17">
        <v>3990</v>
      </c>
      <c r="E15" s="17">
        <v>3990</v>
      </c>
      <c r="G15" s="18" t="s">
        <v>49</v>
      </c>
      <c r="H15" s="17"/>
      <c r="I15" s="17"/>
    </row>
    <row r="16" spans="1:29" ht="30" x14ac:dyDescent="0.25">
      <c r="A16" s="14" t="s">
        <v>28</v>
      </c>
      <c r="B16" s="15" t="s">
        <v>16</v>
      </c>
      <c r="C16" s="18" t="s">
        <v>41</v>
      </c>
      <c r="D16" s="17">
        <v>29990</v>
      </c>
      <c r="E16" s="17">
        <v>29990</v>
      </c>
      <c r="G16" s="19"/>
      <c r="H16" s="15"/>
    </row>
    <row r="17" spans="1:9" ht="45" x14ac:dyDescent="0.25">
      <c r="A17" s="14" t="s">
        <v>24</v>
      </c>
      <c r="B17" s="15" t="s">
        <v>25</v>
      </c>
      <c r="C17" s="14" t="s">
        <v>44</v>
      </c>
      <c r="D17" s="17">
        <v>3990</v>
      </c>
      <c r="E17" s="17">
        <f>D17*6</f>
        <v>23940</v>
      </c>
      <c r="G17" s="18" t="s">
        <v>34</v>
      </c>
      <c r="H17" s="17">
        <v>3220</v>
      </c>
      <c r="I17" s="17">
        <v>19320</v>
      </c>
    </row>
    <row r="18" spans="1:9" x14ac:dyDescent="0.25">
      <c r="A18" s="14" t="s">
        <v>31</v>
      </c>
      <c r="B18" s="15" t="s">
        <v>35</v>
      </c>
      <c r="C18" s="14" t="s">
        <v>45</v>
      </c>
      <c r="D18" s="17">
        <v>3390</v>
      </c>
      <c r="E18" s="17">
        <f>D18*5</f>
        <v>16950</v>
      </c>
      <c r="G18" s="14" t="s">
        <v>47</v>
      </c>
      <c r="H18" s="15" t="s">
        <v>48</v>
      </c>
    </row>
    <row r="19" spans="1:9" x14ac:dyDescent="0.25">
      <c r="A19" s="14" t="s">
        <v>50</v>
      </c>
      <c r="B19" s="15" t="s">
        <v>29</v>
      </c>
      <c r="D19" s="17">
        <v>3860</v>
      </c>
      <c r="E19" s="21">
        <f>D19*2</f>
        <v>7720</v>
      </c>
      <c r="G19" s="15"/>
      <c r="H19" s="15"/>
    </row>
    <row r="20" spans="1:9" x14ac:dyDescent="0.25">
      <c r="A20" s="14" t="s">
        <v>39</v>
      </c>
      <c r="B20" s="15" t="s">
        <v>30</v>
      </c>
      <c r="C20" s="15" t="s">
        <v>38</v>
      </c>
      <c r="D20" s="17">
        <v>1100</v>
      </c>
      <c r="E20" s="17">
        <v>1100</v>
      </c>
      <c r="G20" s="15"/>
      <c r="H20" s="15"/>
    </row>
    <row r="21" spans="1:9" x14ac:dyDescent="0.25">
      <c r="A21" s="9" t="s">
        <v>40</v>
      </c>
      <c r="B21" s="15" t="s">
        <v>30</v>
      </c>
      <c r="D21" s="17">
        <v>200</v>
      </c>
      <c r="E21" s="17">
        <v>200</v>
      </c>
    </row>
  </sheetData>
  <mergeCells count="1">
    <mergeCell ref="K1:A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Austine Philip M.  Redondo</dc:creator>
  <cp:lastModifiedBy>Ken Juvic P. Marasigan</cp:lastModifiedBy>
  <dcterms:created xsi:type="dcterms:W3CDTF">2025-04-29T06:46:41Z</dcterms:created>
  <dcterms:modified xsi:type="dcterms:W3CDTF">2025-05-05T06:47:48Z</dcterms:modified>
</cp:coreProperties>
</file>