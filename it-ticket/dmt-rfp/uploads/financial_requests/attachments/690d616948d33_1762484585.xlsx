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aconis_carmensbest_com_ph/Documents/"/>
    </mc:Choice>
  </mc:AlternateContent>
  <xr:revisionPtr revIDLastSave="0" documentId="8_{C259D625-E568-46E2-9BAD-100B0E40A3D7}" xr6:coauthVersionLast="47" xr6:coauthVersionMax="47" xr10:uidLastSave="{00000000-0000-0000-0000-000000000000}"/>
  <bookViews>
    <workbookView xWindow="-108" yWindow="-108" windowWidth="23256" windowHeight="12456" xr2:uid="{DC7744C4-839C-48C8-8305-A949802D0045}"/>
  </bookViews>
  <sheets>
    <sheet name="DTR new Sept 20-Oct 10" sheetId="2" r:id="rId1"/>
    <sheet name="Sheet1" sheetId="1" r:id="rId2"/>
  </sheets>
  <externalReferences>
    <externalReference r:id="rId3"/>
  </externalReferences>
  <definedNames>
    <definedName name="_xlnm.Print_Area" localSheetId="0">'DTR new Sept 20-Oct 10'!$A$1:$Z$89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1" i="2" l="1"/>
  <c r="R80" i="2"/>
  <c r="Q80" i="2"/>
  <c r="S80" i="2" s="1"/>
  <c r="U80" i="2" s="1"/>
  <c r="R79" i="2"/>
  <c r="Q79" i="2"/>
  <c r="S79" i="2" s="1"/>
  <c r="U79" i="2" s="1"/>
  <c r="R78" i="2"/>
  <c r="Q78" i="2"/>
  <c r="S78" i="2" s="1"/>
  <c r="U78" i="2" s="1"/>
  <c r="R76" i="2"/>
  <c r="Q76" i="2"/>
  <c r="S76" i="2" s="1"/>
  <c r="U76" i="2" s="1"/>
  <c r="R75" i="2"/>
  <c r="Q75" i="2"/>
  <c r="S75" i="2" s="1"/>
  <c r="U75" i="2" s="1"/>
  <c r="R74" i="2"/>
  <c r="Q74" i="2"/>
  <c r="S74" i="2" s="1"/>
  <c r="U74" i="2" s="1"/>
  <c r="R73" i="2"/>
  <c r="Q73" i="2"/>
  <c r="S73" i="2" s="1"/>
  <c r="U73" i="2" s="1"/>
  <c r="R72" i="2"/>
  <c r="Q72" i="2"/>
  <c r="S72" i="2" s="1"/>
  <c r="U72" i="2" s="1"/>
  <c r="R71" i="2"/>
  <c r="Q71" i="2"/>
  <c r="S71" i="2" s="1"/>
  <c r="U71" i="2" s="1"/>
  <c r="B69" i="2"/>
  <c r="W64" i="2"/>
  <c r="R63" i="2"/>
  <c r="Q63" i="2"/>
  <c r="S63" i="2" s="1"/>
  <c r="U63" i="2" s="1"/>
  <c r="R62" i="2"/>
  <c r="Q62" i="2"/>
  <c r="S62" i="2" s="1"/>
  <c r="U62" i="2" s="1"/>
  <c r="R61" i="2"/>
  <c r="Q61" i="2"/>
  <c r="S61" i="2" s="1"/>
  <c r="U61" i="2" s="1"/>
  <c r="R58" i="2"/>
  <c r="Q58" i="2"/>
  <c r="S58" i="2" s="1"/>
  <c r="U58" i="2" s="1"/>
  <c r="R57" i="2"/>
  <c r="Q57" i="2"/>
  <c r="S57" i="2" s="1"/>
  <c r="U57" i="2" s="1"/>
  <c r="R56" i="2"/>
  <c r="Q56" i="2"/>
  <c r="S56" i="2" s="1"/>
  <c r="U56" i="2" s="1"/>
  <c r="R55" i="2"/>
  <c r="Q55" i="2"/>
  <c r="S55" i="2" s="1"/>
  <c r="U55" i="2" s="1"/>
  <c r="R54" i="2"/>
  <c r="Q54" i="2"/>
  <c r="S54" i="2" s="1"/>
  <c r="U54" i="2" s="1"/>
  <c r="B52" i="2"/>
  <c r="W47" i="2"/>
  <c r="R46" i="2"/>
  <c r="Q46" i="2"/>
  <c r="S46" i="2" s="1"/>
  <c r="U46" i="2" s="1"/>
  <c r="R45" i="2"/>
  <c r="Q45" i="2"/>
  <c r="S45" i="2" s="1"/>
  <c r="U45" i="2" s="1"/>
  <c r="S44" i="2"/>
  <c r="U44" i="2" s="1"/>
  <c r="R44" i="2"/>
  <c r="Q44" i="2"/>
  <c r="R43" i="2"/>
  <c r="Q43" i="2"/>
  <c r="S43" i="2" s="1"/>
  <c r="U43" i="2" s="1"/>
  <c r="R42" i="2"/>
  <c r="Q42" i="2"/>
  <c r="S42" i="2" s="1"/>
  <c r="U42" i="2" s="1"/>
  <c r="S41" i="2"/>
  <c r="U41" i="2" s="1"/>
  <c r="R41" i="2"/>
  <c r="Q41" i="2"/>
  <c r="R40" i="2"/>
  <c r="Q40" i="2"/>
  <c r="S40" i="2" s="1"/>
  <c r="U40" i="2" s="1"/>
  <c r="R39" i="2"/>
  <c r="Q39" i="2"/>
  <c r="S39" i="2" s="1"/>
  <c r="U39" i="2" s="1"/>
  <c r="B37" i="2"/>
  <c r="W31" i="2"/>
  <c r="R30" i="2"/>
  <c r="Q30" i="2"/>
  <c r="S30" i="2" s="1"/>
  <c r="U30" i="2" s="1"/>
  <c r="R29" i="2"/>
  <c r="Q29" i="2"/>
  <c r="S29" i="2" s="1"/>
  <c r="U29" i="2" s="1"/>
  <c r="R28" i="2"/>
  <c r="S28" i="2" s="1"/>
  <c r="U28" i="2" s="1"/>
  <c r="Q28" i="2"/>
  <c r="R27" i="2"/>
  <c r="Q27" i="2"/>
  <c r="S27" i="2" s="1"/>
  <c r="U27" i="2" s="1"/>
  <c r="R26" i="2"/>
  <c r="Q26" i="2"/>
  <c r="S26" i="2" s="1"/>
  <c r="U26" i="2" s="1"/>
  <c r="R25" i="2"/>
  <c r="S25" i="2" s="1"/>
  <c r="U25" i="2" s="1"/>
  <c r="Q25" i="2"/>
  <c r="R24" i="2"/>
  <c r="Q24" i="2"/>
  <c r="S24" i="2" s="1"/>
  <c r="U24" i="2" s="1"/>
  <c r="R23" i="2"/>
  <c r="Q23" i="2"/>
  <c r="S23" i="2" s="1"/>
  <c r="U23" i="2" s="1"/>
  <c r="B21" i="2"/>
  <c r="W17" i="2"/>
  <c r="S16" i="2"/>
  <c r="U16" i="2" s="1"/>
  <c r="R16" i="2"/>
  <c r="Q16" i="2"/>
  <c r="S15" i="2"/>
  <c r="U15" i="2" s="1"/>
  <c r="R15" i="2"/>
  <c r="Q15" i="2"/>
  <c r="R14" i="2"/>
  <c r="Q14" i="2"/>
  <c r="S14" i="2" s="1"/>
  <c r="U14" i="2" s="1"/>
  <c r="S13" i="2"/>
  <c r="U13" i="2" s="1"/>
  <c r="R13" i="2"/>
  <c r="Q13" i="2"/>
  <c r="S12" i="2"/>
  <c r="U12" i="2" s="1"/>
  <c r="R12" i="2"/>
  <c r="Q12" i="2"/>
  <c r="R11" i="2"/>
  <c r="Q11" i="2"/>
  <c r="S11" i="2" s="1"/>
  <c r="U11" i="2" s="1"/>
  <c r="S10" i="2"/>
  <c r="U10" i="2" s="1"/>
  <c r="R10" i="2"/>
  <c r="Q10" i="2"/>
  <c r="S9" i="2"/>
  <c r="U9" i="2" s="1"/>
  <c r="R9" i="2"/>
  <c r="Q9" i="2"/>
  <c r="R8" i="2"/>
  <c r="Q8" i="2"/>
  <c r="S8" i="2" s="1"/>
  <c r="U8" i="2" s="1"/>
  <c r="S7" i="2"/>
  <c r="U7" i="2" s="1"/>
  <c r="R7" i="2"/>
  <c r="Q7" i="2"/>
  <c r="B5" i="2"/>
  <c r="U17" i="2" l="1"/>
  <c r="U31" i="2"/>
  <c r="U47" i="2"/>
  <c r="U81" i="2"/>
  <c r="U64" i="2"/>
  <c r="U85" i="2" l="1"/>
</calcChain>
</file>

<file path=xl/sharedStrings.xml><?xml version="1.0" encoding="utf-8"?>
<sst xmlns="http://schemas.openxmlformats.org/spreadsheetml/2006/main" count="160" uniqueCount="36">
  <si>
    <t>THE LAGUNA CREAMERY INC.</t>
  </si>
  <si>
    <t>DAILY TIME RECORD (SEASONAL)</t>
  </si>
  <si>
    <t>Sept 20-26</t>
  </si>
  <si>
    <t>OT</t>
  </si>
  <si>
    <t>TOTAL HOUR</t>
  </si>
  <si>
    <t>TOTAL OVERTIME</t>
  </si>
  <si>
    <t>RATE/HOUR</t>
  </si>
  <si>
    <t>TOTAL</t>
  </si>
  <si>
    <t>PAID</t>
  </si>
  <si>
    <t>BALANCE</t>
  </si>
  <si>
    <t>SAT</t>
  </si>
  <si>
    <t>SUN</t>
  </si>
  <si>
    <t>MON</t>
  </si>
  <si>
    <t>TUE</t>
  </si>
  <si>
    <t>WED</t>
  </si>
  <si>
    <t>THU</t>
  </si>
  <si>
    <t>FRI</t>
  </si>
  <si>
    <t>MARK JOLO COSA</t>
  </si>
  <si>
    <t>FRANKLIN AGUILON</t>
  </si>
  <si>
    <t>JOSE PAN</t>
  </si>
  <si>
    <t>ISRAEL  VERCES</t>
  </si>
  <si>
    <t>ERWIN JOHN M. SERRANO</t>
  </si>
  <si>
    <t>JAN LORENCE D. OPULENCIA</t>
  </si>
  <si>
    <t>RHEYVEN MINOC</t>
  </si>
  <si>
    <t>MARK ANTHONY RAYA</t>
  </si>
  <si>
    <t>JOHN VENSON MORGA</t>
  </si>
  <si>
    <t>SANDER DEVANADERA</t>
  </si>
  <si>
    <t>Sept 27-Oct 3</t>
  </si>
  <si>
    <t>Oct 4-10</t>
  </si>
  <si>
    <t>Oct 11-17</t>
  </si>
  <si>
    <t>JOHN DAVE TEJERO</t>
  </si>
  <si>
    <t>Oct 18-24</t>
  </si>
  <si>
    <t>Aldrin C. Onis</t>
  </si>
  <si>
    <t>Agronomist</t>
  </si>
  <si>
    <t>Mark Angelo Borja</t>
  </si>
  <si>
    <t>Farn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</si>
</sst>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₱-3409]* #,##0.00_-;\-[$₱-3409]* #,##0.00_-;_-[$₱-3409]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rgb="FF000000"/>
      <name val="Aptos Narrow"/>
      <family val="2"/>
    </font>
    <font>
      <sz val="11"/>
      <color rgb="FF000000"/>
      <name val="Aptos Narrow"/>
      <family val="2"/>
    </font>
    <font>
      <sz val="16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6" xfId="0" applyBorder="1"/>
    <xf numFmtId="0" fontId="3" fillId="0" borderId="7" xfId="0" applyFont="1" applyBorder="1"/>
    <xf numFmtId="0" fontId="4" fillId="0" borderId="0" xfId="0" applyFont="1"/>
    <xf numFmtId="43" fontId="4" fillId="3" borderId="6" xfId="0" applyNumberFormat="1" applyFont="1" applyFill="1" applyBorder="1" applyAlignment="1">
      <alignment horizontal="center" vertical="center"/>
    </xf>
    <xf numFmtId="43" fontId="3" fillId="3" borderId="6" xfId="0" applyNumberFormat="1" applyFont="1" applyFill="1" applyBorder="1" applyAlignment="1">
      <alignment horizontal="center" vertical="center"/>
    </xf>
    <xf numFmtId="43" fontId="0" fillId="0" borderId="0" xfId="1" applyFont="1"/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0" xfId="1" applyFont="1" applyFill="1"/>
    <xf numFmtId="0" fontId="4" fillId="4" borderId="6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64" fontId="7" fillId="0" borderId="8" xfId="0" applyNumberFormat="1" applyFont="1" applyBorder="1"/>
    <xf numFmtId="43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tg_sup/Downloads/IC-Maintenance-Work-Order-896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"/>
      <sheetName val="- Disclaimer -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1359-44E5-48DB-8D21-ADBE50BFA716}">
  <dimension ref="B2:AJ88"/>
  <sheetViews>
    <sheetView tabSelected="1" topLeftCell="A67" zoomScale="67" zoomScaleNormal="67" workbookViewId="0">
      <selection activeCell="R81" sqref="R81"/>
    </sheetView>
  </sheetViews>
  <sheetFormatPr defaultRowHeight="14.4" x14ac:dyDescent="0.3"/>
  <cols>
    <col min="2" max="2" width="45.33203125" bestFit="1" customWidth="1"/>
    <col min="3" max="3" width="4.33203125" bestFit="1" customWidth="1"/>
    <col min="4" max="4" width="4.5546875" bestFit="1" customWidth="1"/>
    <col min="5" max="5" width="5.88671875" bestFit="1" customWidth="1"/>
    <col min="6" max="6" width="4.5546875" bestFit="1" customWidth="1"/>
    <col min="7" max="7" width="5.88671875" bestFit="1" customWidth="1"/>
    <col min="8" max="8" width="4.6640625" bestFit="1" customWidth="1"/>
    <col min="9" max="9" width="4.44140625" bestFit="1" customWidth="1"/>
    <col min="10" max="10" width="4.6640625" bestFit="1" customWidth="1"/>
    <col min="11" max="11" width="4.44140625" bestFit="1" customWidth="1"/>
    <col min="12" max="12" width="4.6640625" bestFit="1" customWidth="1"/>
    <col min="13" max="13" width="5.88671875" bestFit="1" customWidth="1"/>
    <col min="14" max="14" width="4.6640625" bestFit="1" customWidth="1"/>
    <col min="15" max="15" width="4.44140625" bestFit="1" customWidth="1"/>
    <col min="16" max="16" width="4.5546875" bestFit="1" customWidth="1"/>
    <col min="17" max="17" width="17" bestFit="1" customWidth="1"/>
    <col min="18" max="18" width="22.44140625" bestFit="1" customWidth="1"/>
    <col min="19" max="19" width="17" bestFit="1" customWidth="1"/>
    <col min="20" max="20" width="15.88671875" bestFit="1" customWidth="1"/>
    <col min="21" max="21" width="17.6640625" bestFit="1" customWidth="1"/>
    <col min="22" max="22" width="10.44140625" bestFit="1" customWidth="1"/>
    <col min="23" max="23" width="12.77734375" bestFit="1" customWidth="1"/>
    <col min="24" max="24" width="11.5546875" bestFit="1" customWidth="1"/>
    <col min="25" max="25" width="10.44140625" bestFit="1" customWidth="1"/>
    <col min="26" max="27" width="10.5546875" bestFit="1" customWidth="1"/>
    <col min="34" max="34" width="10.44140625" bestFit="1" customWidth="1"/>
    <col min="35" max="35" width="11.33203125" bestFit="1" customWidth="1"/>
    <col min="36" max="36" width="12.88671875" style="29" bestFit="1" customWidth="1"/>
    <col min="37" max="37" width="14" bestFit="1" customWidth="1"/>
  </cols>
  <sheetData>
    <row r="2" spans="2:25" ht="23.4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4"/>
      <c r="Y2" s="4"/>
    </row>
    <row r="3" spans="2:25" ht="23.4" x14ac:dyDescent="0.3"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4"/>
      <c r="Y3" s="4"/>
    </row>
    <row r="4" spans="2:25" x14ac:dyDescent="0.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4"/>
      <c r="Y4" s="4"/>
    </row>
    <row r="5" spans="2:25" ht="21" x14ac:dyDescent="0.3">
      <c r="B5" s="8" t="str">
        <f>B4</f>
        <v>Sept 20-26</v>
      </c>
      <c r="C5" s="9">
        <v>20</v>
      </c>
      <c r="D5" s="9" t="s">
        <v>3</v>
      </c>
      <c r="E5" s="10">
        <v>21</v>
      </c>
      <c r="F5" s="10" t="s">
        <v>3</v>
      </c>
      <c r="G5" s="10">
        <v>22</v>
      </c>
      <c r="H5" s="10" t="s">
        <v>3</v>
      </c>
      <c r="I5" s="11">
        <v>23</v>
      </c>
      <c r="J5" s="10" t="s">
        <v>3</v>
      </c>
      <c r="K5" s="11">
        <v>24</v>
      </c>
      <c r="L5" s="10" t="s">
        <v>3</v>
      </c>
      <c r="M5" s="11">
        <v>25</v>
      </c>
      <c r="N5" s="11" t="s">
        <v>3</v>
      </c>
      <c r="O5" s="11">
        <v>26</v>
      </c>
      <c r="P5" s="10" t="s">
        <v>3</v>
      </c>
      <c r="Q5" s="12" t="s">
        <v>4</v>
      </c>
      <c r="R5" s="8" t="s">
        <v>5</v>
      </c>
      <c r="S5" s="8" t="s">
        <v>4</v>
      </c>
      <c r="T5" s="8" t="s">
        <v>6</v>
      </c>
      <c r="U5" s="8" t="s">
        <v>7</v>
      </c>
      <c r="V5" s="8" t="s">
        <v>8</v>
      </c>
      <c r="W5" s="8" t="s">
        <v>9</v>
      </c>
      <c r="X5" s="4"/>
      <c r="Y5" s="4"/>
    </row>
    <row r="6" spans="2:25" ht="21" x14ac:dyDescent="0.3">
      <c r="B6" s="13"/>
      <c r="C6" s="14" t="s">
        <v>10</v>
      </c>
      <c r="D6" s="15"/>
      <c r="E6" s="16" t="s">
        <v>11</v>
      </c>
      <c r="F6" s="17"/>
      <c r="G6" s="16" t="s">
        <v>12</v>
      </c>
      <c r="H6" s="17"/>
      <c r="I6" s="16" t="s">
        <v>13</v>
      </c>
      <c r="J6" s="17"/>
      <c r="K6" s="16" t="s">
        <v>14</v>
      </c>
      <c r="L6" s="17"/>
      <c r="M6" s="16" t="s">
        <v>15</v>
      </c>
      <c r="N6" s="17"/>
      <c r="O6" s="16" t="s">
        <v>16</v>
      </c>
      <c r="P6" s="17"/>
      <c r="Q6" s="18"/>
      <c r="R6" s="13"/>
      <c r="S6" s="13"/>
      <c r="T6" s="13"/>
      <c r="U6" s="13"/>
      <c r="V6" s="13"/>
      <c r="W6" s="13"/>
      <c r="X6" s="4"/>
      <c r="Y6" s="4"/>
    </row>
    <row r="7" spans="2:25" ht="21" x14ac:dyDescent="0.3">
      <c r="B7" s="19" t="s">
        <v>17</v>
      </c>
      <c r="C7" s="20">
        <v>8</v>
      </c>
      <c r="D7" s="20"/>
      <c r="E7" s="20"/>
      <c r="F7" s="10"/>
      <c r="G7" s="20">
        <v>8</v>
      </c>
      <c r="H7" s="20"/>
      <c r="I7" s="11">
        <v>8</v>
      </c>
      <c r="J7" s="11"/>
      <c r="K7" s="11"/>
      <c r="L7" s="11"/>
      <c r="M7" s="11"/>
      <c r="N7" s="11"/>
      <c r="O7" s="11">
        <v>8</v>
      </c>
      <c r="P7" s="11"/>
      <c r="Q7" s="21">
        <f t="shared" ref="Q7:R15" si="0">C7+E7+G7+I7+K7+M7+O7</f>
        <v>32</v>
      </c>
      <c r="R7" s="21">
        <f t="shared" si="0"/>
        <v>0</v>
      </c>
      <c r="S7" s="22">
        <f t="shared" ref="S7:S10" si="1">Q7+R7</f>
        <v>32</v>
      </c>
      <c r="T7" s="11">
        <v>60</v>
      </c>
      <c r="U7" s="22">
        <f t="shared" ref="U7:U16" si="2">S7*T7</f>
        <v>1920</v>
      </c>
      <c r="V7" s="10"/>
      <c r="W7" s="10"/>
      <c r="X7" s="4"/>
      <c r="Y7" s="4"/>
    </row>
    <row r="8" spans="2:25" ht="21" x14ac:dyDescent="0.3">
      <c r="B8" s="19" t="s">
        <v>18</v>
      </c>
      <c r="C8" s="20">
        <v>8</v>
      </c>
      <c r="D8" s="20"/>
      <c r="E8" s="20"/>
      <c r="F8" s="10"/>
      <c r="G8" s="20">
        <v>8</v>
      </c>
      <c r="H8" s="20"/>
      <c r="I8" s="11">
        <v>8</v>
      </c>
      <c r="J8" s="11"/>
      <c r="K8" s="11">
        <v>8</v>
      </c>
      <c r="L8" s="11"/>
      <c r="M8" s="11">
        <v>8</v>
      </c>
      <c r="N8" s="11"/>
      <c r="O8" s="11">
        <v>8</v>
      </c>
      <c r="P8" s="11"/>
      <c r="Q8" s="21">
        <f t="shared" si="0"/>
        <v>48</v>
      </c>
      <c r="R8" s="21">
        <f t="shared" si="0"/>
        <v>0</v>
      </c>
      <c r="S8" s="22">
        <f t="shared" si="1"/>
        <v>48</v>
      </c>
      <c r="T8" s="11">
        <v>60</v>
      </c>
      <c r="U8" s="22">
        <f t="shared" si="2"/>
        <v>2880</v>
      </c>
      <c r="V8" s="10"/>
      <c r="W8" s="10"/>
      <c r="X8" s="4"/>
      <c r="Y8" s="4"/>
    </row>
    <row r="9" spans="2:25" ht="21" x14ac:dyDescent="0.3">
      <c r="B9" s="19" t="s">
        <v>19</v>
      </c>
      <c r="C9" s="20">
        <v>8</v>
      </c>
      <c r="D9" s="20"/>
      <c r="E9" s="20"/>
      <c r="F9" s="10"/>
      <c r="G9" s="20">
        <v>8</v>
      </c>
      <c r="H9" s="20"/>
      <c r="I9" s="11">
        <v>8</v>
      </c>
      <c r="J9" s="11"/>
      <c r="K9" s="11">
        <v>8</v>
      </c>
      <c r="L9" s="11"/>
      <c r="M9" s="11">
        <v>8</v>
      </c>
      <c r="N9" s="11"/>
      <c r="O9" s="11">
        <v>8</v>
      </c>
      <c r="P9" s="11"/>
      <c r="Q9" s="21">
        <f t="shared" si="0"/>
        <v>48</v>
      </c>
      <c r="R9" s="21">
        <f t="shared" si="0"/>
        <v>0</v>
      </c>
      <c r="S9" s="22">
        <f t="shared" si="1"/>
        <v>48</v>
      </c>
      <c r="T9" s="11">
        <v>60</v>
      </c>
      <c r="U9" s="22">
        <f t="shared" si="2"/>
        <v>2880</v>
      </c>
      <c r="V9" s="10"/>
      <c r="W9" s="10"/>
      <c r="X9" s="4"/>
      <c r="Y9" s="4"/>
    </row>
    <row r="10" spans="2:25" ht="21" x14ac:dyDescent="0.3">
      <c r="B10" s="19" t="s">
        <v>20</v>
      </c>
      <c r="C10" s="20">
        <v>8</v>
      </c>
      <c r="D10" s="20"/>
      <c r="E10" s="20"/>
      <c r="F10" s="10"/>
      <c r="G10" s="20"/>
      <c r="H10" s="20"/>
      <c r="I10" s="11"/>
      <c r="J10" s="11"/>
      <c r="K10" s="11">
        <v>8</v>
      </c>
      <c r="L10" s="11"/>
      <c r="M10" s="11">
        <v>8</v>
      </c>
      <c r="N10" s="11"/>
      <c r="O10" s="11">
        <v>8</v>
      </c>
      <c r="P10" s="11"/>
      <c r="Q10" s="21">
        <f t="shared" si="0"/>
        <v>32</v>
      </c>
      <c r="R10" s="21">
        <f t="shared" si="0"/>
        <v>0</v>
      </c>
      <c r="S10" s="22">
        <f t="shared" si="1"/>
        <v>32</v>
      </c>
      <c r="T10" s="11">
        <v>60</v>
      </c>
      <c r="U10" s="22">
        <f t="shared" si="2"/>
        <v>1920</v>
      </c>
      <c r="V10" s="10"/>
      <c r="W10" s="10"/>
      <c r="X10" s="4"/>
      <c r="Y10" s="4"/>
    </row>
    <row r="11" spans="2:25" ht="21" x14ac:dyDescent="0.3">
      <c r="B11" s="23" t="s">
        <v>21</v>
      </c>
      <c r="C11" s="20">
        <v>8</v>
      </c>
      <c r="D11" s="20"/>
      <c r="E11" s="20"/>
      <c r="F11" s="10"/>
      <c r="G11" s="20">
        <v>8</v>
      </c>
      <c r="H11" s="20"/>
      <c r="I11" s="11">
        <v>8</v>
      </c>
      <c r="J11" s="11"/>
      <c r="K11" s="11"/>
      <c r="L11" s="11"/>
      <c r="M11" s="11"/>
      <c r="N11" s="11"/>
      <c r="O11" s="11">
        <v>8</v>
      </c>
      <c r="P11" s="11"/>
      <c r="Q11" s="21">
        <f>C11+E11+G11+I11+K11+M11+O11</f>
        <v>32</v>
      </c>
      <c r="R11" s="21">
        <f t="shared" si="0"/>
        <v>0</v>
      </c>
      <c r="S11" s="22">
        <f>Q11+R11</f>
        <v>32</v>
      </c>
      <c r="T11" s="11">
        <v>60</v>
      </c>
      <c r="U11" s="22">
        <f t="shared" si="2"/>
        <v>1920</v>
      </c>
      <c r="V11" s="11"/>
      <c r="W11" s="11"/>
      <c r="X11" s="4"/>
      <c r="Y11" s="4"/>
    </row>
    <row r="12" spans="2:25" ht="21" x14ac:dyDescent="0.3">
      <c r="B12" s="23" t="s">
        <v>22</v>
      </c>
      <c r="C12" s="20">
        <v>8</v>
      </c>
      <c r="D12" s="20"/>
      <c r="E12" s="20"/>
      <c r="F12" s="10"/>
      <c r="G12" s="20">
        <v>8</v>
      </c>
      <c r="H12" s="20"/>
      <c r="I12" s="11"/>
      <c r="J12" s="11"/>
      <c r="K12" s="11"/>
      <c r="L12" s="11"/>
      <c r="M12" s="11">
        <v>8</v>
      </c>
      <c r="N12" s="11"/>
      <c r="O12" s="11">
        <v>8</v>
      </c>
      <c r="P12" s="11"/>
      <c r="Q12" s="21">
        <f>C12+E12+G12+I12+K12+M12+O12</f>
        <v>32</v>
      </c>
      <c r="R12" s="21">
        <f t="shared" si="0"/>
        <v>0</v>
      </c>
      <c r="S12" s="22">
        <f t="shared" ref="S12:S16" si="3">Q12+R12</f>
        <v>32</v>
      </c>
      <c r="T12" s="11">
        <v>60</v>
      </c>
      <c r="U12" s="22">
        <f t="shared" si="2"/>
        <v>1920</v>
      </c>
      <c r="V12" s="11"/>
      <c r="W12" s="11"/>
      <c r="X12" s="4"/>
      <c r="Y12" s="4"/>
    </row>
    <row r="13" spans="2:25" ht="21" x14ac:dyDescent="0.3">
      <c r="B13" s="23" t="s">
        <v>23</v>
      </c>
      <c r="C13" s="20">
        <v>8</v>
      </c>
      <c r="D13" s="20"/>
      <c r="E13" s="20">
        <v>8</v>
      </c>
      <c r="F13" s="10"/>
      <c r="G13" s="20">
        <v>8</v>
      </c>
      <c r="H13" s="20"/>
      <c r="I13" s="11">
        <v>8</v>
      </c>
      <c r="J13" s="11"/>
      <c r="K13" s="11">
        <v>8</v>
      </c>
      <c r="L13" s="11"/>
      <c r="M13" s="11">
        <v>8</v>
      </c>
      <c r="N13" s="11"/>
      <c r="O13" s="11">
        <v>8</v>
      </c>
      <c r="P13" s="11"/>
      <c r="Q13" s="21">
        <f t="shared" ref="Q13:Q15" si="4">C13+E13+G13+I13+K13+M13+O13</f>
        <v>56</v>
      </c>
      <c r="R13" s="21">
        <f t="shared" si="0"/>
        <v>0</v>
      </c>
      <c r="S13" s="22">
        <f t="shared" si="3"/>
        <v>56</v>
      </c>
      <c r="T13" s="11">
        <v>60</v>
      </c>
      <c r="U13" s="22">
        <f t="shared" si="2"/>
        <v>3360</v>
      </c>
      <c r="V13" s="11"/>
      <c r="W13" s="11"/>
      <c r="X13" s="4"/>
      <c r="Y13" s="4"/>
    </row>
    <row r="14" spans="2:25" ht="21" x14ac:dyDescent="0.3">
      <c r="B14" s="23" t="s">
        <v>24</v>
      </c>
      <c r="C14" s="20">
        <v>8</v>
      </c>
      <c r="D14" s="20"/>
      <c r="E14" s="20">
        <v>8</v>
      </c>
      <c r="F14" s="10"/>
      <c r="G14" s="20">
        <v>8</v>
      </c>
      <c r="H14" s="20"/>
      <c r="I14" s="11">
        <v>8</v>
      </c>
      <c r="J14" s="11"/>
      <c r="K14" s="11">
        <v>8</v>
      </c>
      <c r="L14" s="11"/>
      <c r="M14" s="11">
        <v>8</v>
      </c>
      <c r="N14" s="11"/>
      <c r="O14" s="11">
        <v>8</v>
      </c>
      <c r="P14" s="11"/>
      <c r="Q14" s="21">
        <f t="shared" si="4"/>
        <v>56</v>
      </c>
      <c r="R14" s="21">
        <f t="shared" si="0"/>
        <v>0</v>
      </c>
      <c r="S14" s="22">
        <f t="shared" si="3"/>
        <v>56</v>
      </c>
      <c r="T14" s="11">
        <v>60</v>
      </c>
      <c r="U14" s="22">
        <f t="shared" si="2"/>
        <v>3360</v>
      </c>
      <c r="V14" s="11"/>
      <c r="W14" s="11"/>
      <c r="X14" s="4"/>
      <c r="Y14" s="4"/>
    </row>
    <row r="15" spans="2:25" ht="21" x14ac:dyDescent="0.3">
      <c r="B15" s="23" t="s">
        <v>25</v>
      </c>
      <c r="C15" s="20">
        <v>8</v>
      </c>
      <c r="D15" s="20"/>
      <c r="E15" s="20">
        <v>8</v>
      </c>
      <c r="F15" s="10"/>
      <c r="G15" s="20"/>
      <c r="H15" s="20"/>
      <c r="I15" s="11"/>
      <c r="J15" s="11"/>
      <c r="K15" s="11"/>
      <c r="L15" s="11"/>
      <c r="M15" s="11">
        <v>8</v>
      </c>
      <c r="N15" s="11"/>
      <c r="O15" s="11">
        <v>8</v>
      </c>
      <c r="P15" s="11"/>
      <c r="Q15" s="21">
        <f t="shared" si="4"/>
        <v>32</v>
      </c>
      <c r="R15" s="21">
        <f t="shared" si="0"/>
        <v>0</v>
      </c>
      <c r="S15" s="22">
        <f t="shared" si="3"/>
        <v>32</v>
      </c>
      <c r="T15" s="11">
        <v>60</v>
      </c>
      <c r="U15" s="22">
        <f t="shared" si="2"/>
        <v>1920</v>
      </c>
      <c r="V15" s="11"/>
      <c r="W15" s="11"/>
      <c r="X15" s="4"/>
      <c r="Y15" s="4"/>
    </row>
    <row r="16" spans="2:25" ht="21" x14ac:dyDescent="0.3">
      <c r="B16" s="23" t="s">
        <v>26</v>
      </c>
      <c r="C16" s="20">
        <v>8</v>
      </c>
      <c r="D16" s="20"/>
      <c r="E16" s="20">
        <v>8</v>
      </c>
      <c r="F16" s="10"/>
      <c r="G16" s="20">
        <v>8</v>
      </c>
      <c r="H16" s="20"/>
      <c r="I16" s="24"/>
      <c r="J16" s="24"/>
      <c r="K16" s="24"/>
      <c r="L16" s="24"/>
      <c r="M16" s="24"/>
      <c r="N16" s="11"/>
      <c r="O16" s="11">
        <v>8</v>
      </c>
      <c r="P16" s="11"/>
      <c r="Q16" s="21">
        <f>C16+E16+G16+I30+K30+M30+O16</f>
        <v>56</v>
      </c>
      <c r="R16" s="21">
        <f>D16+F16+H16+J30+L30+N16+P16</f>
        <v>0</v>
      </c>
      <c r="S16" s="22">
        <f t="shared" si="3"/>
        <v>56</v>
      </c>
      <c r="T16" s="11">
        <v>60</v>
      </c>
      <c r="U16" s="22">
        <f t="shared" si="2"/>
        <v>3360</v>
      </c>
      <c r="V16" s="11"/>
      <c r="W16" s="11"/>
      <c r="X16" s="4"/>
      <c r="Y16" s="4"/>
    </row>
    <row r="17" spans="2:25" ht="21" x14ac:dyDescent="0.4">
      <c r="B17" s="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4"/>
      <c r="R17" s="4"/>
      <c r="S17" s="4"/>
      <c r="T17" s="26"/>
      <c r="U17" s="27">
        <f>SUM(U7:U16)</f>
        <v>25440</v>
      </c>
      <c r="V17" s="28"/>
      <c r="W17" s="28">
        <f>SUM(W11:W16)</f>
        <v>0</v>
      </c>
      <c r="X17" s="4"/>
      <c r="Y17" s="4"/>
    </row>
    <row r="18" spans="2:25" ht="23.4" x14ac:dyDescent="0.3">
      <c r="B18" s="1" t="s"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/>
      <c r="X18" s="4"/>
      <c r="Y18" s="4"/>
    </row>
    <row r="19" spans="2:25" ht="23.4" x14ac:dyDescent="0.3">
      <c r="B19" s="1" t="s">
        <v>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4"/>
      <c r="Y19" s="4"/>
    </row>
    <row r="20" spans="2:25" x14ac:dyDescent="0.3">
      <c r="B20" s="5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7"/>
      <c r="X20" s="4"/>
      <c r="Y20" s="4"/>
    </row>
    <row r="21" spans="2:25" ht="21" x14ac:dyDescent="0.3">
      <c r="B21" s="8" t="str">
        <f>B20</f>
        <v>Sept 27-Oct 3</v>
      </c>
      <c r="C21" s="9">
        <v>27</v>
      </c>
      <c r="D21" s="9" t="s">
        <v>3</v>
      </c>
      <c r="E21" s="10">
        <v>28</v>
      </c>
      <c r="F21" s="10" t="s">
        <v>3</v>
      </c>
      <c r="G21" s="10">
        <v>29</v>
      </c>
      <c r="H21" s="10" t="s">
        <v>3</v>
      </c>
      <c r="I21" s="11">
        <v>30</v>
      </c>
      <c r="J21" s="10" t="s">
        <v>3</v>
      </c>
      <c r="K21" s="11">
        <v>1</v>
      </c>
      <c r="L21" s="10" t="s">
        <v>3</v>
      </c>
      <c r="M21" s="11">
        <v>2</v>
      </c>
      <c r="N21" s="11" t="s">
        <v>3</v>
      </c>
      <c r="O21" s="11">
        <v>3</v>
      </c>
      <c r="P21" s="10" t="s">
        <v>3</v>
      </c>
      <c r="Q21" s="12" t="s">
        <v>4</v>
      </c>
      <c r="R21" s="8" t="s">
        <v>5</v>
      </c>
      <c r="S21" s="8" t="s">
        <v>4</v>
      </c>
      <c r="T21" s="8" t="s">
        <v>6</v>
      </c>
      <c r="U21" s="8" t="s">
        <v>7</v>
      </c>
      <c r="V21" s="8" t="s">
        <v>8</v>
      </c>
      <c r="W21" s="8" t="s">
        <v>9</v>
      </c>
      <c r="X21" s="4"/>
      <c r="Y21" s="4"/>
    </row>
    <row r="22" spans="2:25" ht="21" x14ac:dyDescent="0.3">
      <c r="B22" s="13"/>
      <c r="C22" s="14" t="s">
        <v>10</v>
      </c>
      <c r="D22" s="15"/>
      <c r="E22" s="16" t="s">
        <v>11</v>
      </c>
      <c r="F22" s="17"/>
      <c r="G22" s="16" t="s">
        <v>12</v>
      </c>
      <c r="H22" s="17"/>
      <c r="I22" s="16" t="s">
        <v>13</v>
      </c>
      <c r="J22" s="17"/>
      <c r="K22" s="16" t="s">
        <v>14</v>
      </c>
      <c r="L22" s="17"/>
      <c r="M22" s="16" t="s">
        <v>15</v>
      </c>
      <c r="N22" s="17"/>
      <c r="O22" s="16" t="s">
        <v>16</v>
      </c>
      <c r="P22" s="17"/>
      <c r="Q22" s="18"/>
      <c r="R22" s="13"/>
      <c r="S22" s="13"/>
      <c r="T22" s="13"/>
      <c r="U22" s="13"/>
      <c r="V22" s="13"/>
      <c r="W22" s="13"/>
      <c r="X22" s="4"/>
      <c r="Y22" s="4"/>
    </row>
    <row r="23" spans="2:25" ht="21" x14ac:dyDescent="0.3">
      <c r="B23" s="19" t="s">
        <v>17</v>
      </c>
      <c r="C23" s="20">
        <v>8</v>
      </c>
      <c r="D23" s="20"/>
      <c r="E23" s="20"/>
      <c r="F23" s="10"/>
      <c r="G23" s="20"/>
      <c r="H23" s="20"/>
      <c r="I23" s="11"/>
      <c r="J23" s="11"/>
      <c r="K23" s="11">
        <v>8</v>
      </c>
      <c r="L23" s="11"/>
      <c r="M23" s="11">
        <v>8</v>
      </c>
      <c r="N23" s="11"/>
      <c r="O23" s="11">
        <v>8</v>
      </c>
      <c r="P23" s="11"/>
      <c r="Q23" s="21">
        <f t="shared" ref="Q23:R30" si="5">C23+E23+G23+I23+K23+M23+O23</f>
        <v>32</v>
      </c>
      <c r="R23" s="21">
        <f t="shared" si="5"/>
        <v>0</v>
      </c>
      <c r="S23" s="22">
        <f t="shared" ref="S23:S30" si="6">Q23+R23</f>
        <v>32</v>
      </c>
      <c r="T23" s="11">
        <v>60</v>
      </c>
      <c r="U23" s="22">
        <f t="shared" ref="U23:U30" si="7">S23*T23</f>
        <v>1920</v>
      </c>
      <c r="V23" s="10"/>
      <c r="W23" s="10"/>
      <c r="X23" s="4"/>
      <c r="Y23" s="4"/>
    </row>
    <row r="24" spans="2:25" ht="21" x14ac:dyDescent="0.3">
      <c r="B24" s="19" t="s">
        <v>18</v>
      </c>
      <c r="C24" s="20">
        <v>8</v>
      </c>
      <c r="D24" s="20"/>
      <c r="E24" s="20"/>
      <c r="F24" s="10"/>
      <c r="G24" s="20">
        <v>8</v>
      </c>
      <c r="H24" s="20"/>
      <c r="I24" s="11">
        <v>8</v>
      </c>
      <c r="J24" s="11"/>
      <c r="K24" s="11">
        <v>8</v>
      </c>
      <c r="L24" s="11"/>
      <c r="M24" s="11">
        <v>8</v>
      </c>
      <c r="N24" s="11"/>
      <c r="O24" s="11">
        <v>8</v>
      </c>
      <c r="P24" s="11"/>
      <c r="Q24" s="21">
        <f t="shared" si="5"/>
        <v>48</v>
      </c>
      <c r="R24" s="21">
        <f t="shared" si="5"/>
        <v>0</v>
      </c>
      <c r="S24" s="22">
        <f t="shared" si="6"/>
        <v>48</v>
      </c>
      <c r="T24" s="11">
        <v>60</v>
      </c>
      <c r="U24" s="22">
        <f t="shared" si="7"/>
        <v>2880</v>
      </c>
      <c r="V24" s="10"/>
      <c r="W24" s="10"/>
      <c r="X24" s="4"/>
      <c r="Y24" s="4"/>
    </row>
    <row r="25" spans="2:25" ht="21" x14ac:dyDescent="0.3">
      <c r="B25" s="19" t="s">
        <v>19</v>
      </c>
      <c r="C25" s="20">
        <v>8</v>
      </c>
      <c r="D25" s="20"/>
      <c r="E25" s="20"/>
      <c r="F25" s="10"/>
      <c r="G25" s="20">
        <v>8</v>
      </c>
      <c r="H25" s="20"/>
      <c r="I25" s="11">
        <v>8</v>
      </c>
      <c r="J25" s="11"/>
      <c r="K25" s="11">
        <v>8</v>
      </c>
      <c r="L25" s="11"/>
      <c r="M25" s="11">
        <v>8</v>
      </c>
      <c r="N25" s="11"/>
      <c r="O25" s="11">
        <v>8</v>
      </c>
      <c r="P25" s="11"/>
      <c r="Q25" s="21">
        <f t="shared" si="5"/>
        <v>48</v>
      </c>
      <c r="R25" s="21">
        <f t="shared" si="5"/>
        <v>0</v>
      </c>
      <c r="S25" s="22">
        <f t="shared" si="6"/>
        <v>48</v>
      </c>
      <c r="T25" s="11">
        <v>60</v>
      </c>
      <c r="U25" s="22">
        <f t="shared" si="7"/>
        <v>2880</v>
      </c>
      <c r="V25" s="10"/>
      <c r="W25" s="10"/>
      <c r="X25" s="4"/>
      <c r="Y25" s="4"/>
    </row>
    <row r="26" spans="2:25" ht="21" x14ac:dyDescent="0.3">
      <c r="B26" s="19" t="s">
        <v>20</v>
      </c>
      <c r="C26" s="20">
        <v>8</v>
      </c>
      <c r="D26" s="20"/>
      <c r="E26" s="20"/>
      <c r="F26" s="10"/>
      <c r="G26" s="20">
        <v>8</v>
      </c>
      <c r="H26" s="20"/>
      <c r="I26" s="11">
        <v>8</v>
      </c>
      <c r="J26" s="11"/>
      <c r="K26" s="11"/>
      <c r="L26" s="11"/>
      <c r="M26" s="11"/>
      <c r="N26" s="11"/>
      <c r="O26" s="11">
        <v>8</v>
      </c>
      <c r="P26" s="11"/>
      <c r="Q26" s="21">
        <f t="shared" si="5"/>
        <v>32</v>
      </c>
      <c r="R26" s="21">
        <f t="shared" si="5"/>
        <v>0</v>
      </c>
      <c r="S26" s="22">
        <f t="shared" si="6"/>
        <v>32</v>
      </c>
      <c r="T26" s="11">
        <v>60</v>
      </c>
      <c r="U26" s="22">
        <f t="shared" si="7"/>
        <v>1920</v>
      </c>
      <c r="V26" s="10"/>
      <c r="W26" s="10"/>
      <c r="X26" s="4"/>
      <c r="Y26" s="4"/>
    </row>
    <row r="27" spans="2:25" ht="21" x14ac:dyDescent="0.3">
      <c r="B27" s="23" t="s">
        <v>23</v>
      </c>
      <c r="C27" s="20">
        <v>8</v>
      </c>
      <c r="D27" s="20"/>
      <c r="E27" s="20">
        <v>8</v>
      </c>
      <c r="F27" s="10"/>
      <c r="G27" s="20">
        <v>8</v>
      </c>
      <c r="H27" s="20"/>
      <c r="I27" s="11">
        <v>8</v>
      </c>
      <c r="J27" s="11"/>
      <c r="K27" s="11">
        <v>8</v>
      </c>
      <c r="L27" s="11"/>
      <c r="M27" s="11">
        <v>8</v>
      </c>
      <c r="N27" s="11"/>
      <c r="O27" s="11">
        <v>8</v>
      </c>
      <c r="P27" s="11"/>
      <c r="Q27" s="21">
        <f t="shared" si="5"/>
        <v>56</v>
      </c>
      <c r="R27" s="21">
        <f t="shared" si="5"/>
        <v>0</v>
      </c>
      <c r="S27" s="22">
        <f t="shared" si="6"/>
        <v>56</v>
      </c>
      <c r="T27" s="11">
        <v>60</v>
      </c>
      <c r="U27" s="22">
        <f t="shared" si="7"/>
        <v>3360</v>
      </c>
      <c r="V27" s="11"/>
      <c r="W27" s="11"/>
      <c r="X27" s="4"/>
      <c r="Y27" s="4"/>
    </row>
    <row r="28" spans="2:25" ht="21" x14ac:dyDescent="0.3">
      <c r="B28" s="23" t="s">
        <v>24</v>
      </c>
      <c r="C28" s="20"/>
      <c r="D28" s="20"/>
      <c r="E28" s="20"/>
      <c r="F28" s="10"/>
      <c r="G28" s="20"/>
      <c r="H28" s="20"/>
      <c r="I28" s="11"/>
      <c r="J28" s="11"/>
      <c r="K28" s="11"/>
      <c r="L28" s="11"/>
      <c r="M28" s="11"/>
      <c r="N28" s="11"/>
      <c r="O28" s="11"/>
      <c r="P28" s="11"/>
      <c r="Q28" s="21">
        <f t="shared" si="5"/>
        <v>0</v>
      </c>
      <c r="R28" s="21">
        <f t="shared" si="5"/>
        <v>0</v>
      </c>
      <c r="S28" s="22">
        <f t="shared" si="6"/>
        <v>0</v>
      </c>
      <c r="T28" s="11">
        <v>60</v>
      </c>
      <c r="U28" s="22">
        <f t="shared" si="7"/>
        <v>0</v>
      </c>
      <c r="V28" s="11"/>
      <c r="W28" s="11"/>
      <c r="X28" s="4"/>
      <c r="Y28" s="4"/>
    </row>
    <row r="29" spans="2:25" ht="21" x14ac:dyDescent="0.3">
      <c r="B29" s="23" t="s">
        <v>25</v>
      </c>
      <c r="C29" s="20">
        <v>8</v>
      </c>
      <c r="D29" s="20"/>
      <c r="E29" s="11">
        <v>8</v>
      </c>
      <c r="F29" s="11"/>
      <c r="G29" s="11">
        <v>8</v>
      </c>
      <c r="H29" s="20"/>
      <c r="I29" s="11"/>
      <c r="J29" s="11"/>
      <c r="K29" s="11"/>
      <c r="L29" s="11"/>
      <c r="M29" s="11"/>
      <c r="N29" s="11"/>
      <c r="O29" s="11"/>
      <c r="P29" s="11"/>
      <c r="Q29" s="21">
        <f t="shared" si="5"/>
        <v>24</v>
      </c>
      <c r="R29" s="21">
        <f t="shared" si="5"/>
        <v>0</v>
      </c>
      <c r="S29" s="22">
        <f t="shared" si="6"/>
        <v>24</v>
      </c>
      <c r="T29" s="11">
        <v>60</v>
      </c>
      <c r="U29" s="22">
        <f t="shared" si="7"/>
        <v>1440</v>
      </c>
      <c r="V29" s="11"/>
      <c r="W29" s="11"/>
      <c r="X29" s="4"/>
      <c r="Y29" s="4"/>
    </row>
    <row r="30" spans="2:25" ht="21" x14ac:dyDescent="0.3">
      <c r="B30" s="23" t="s">
        <v>26</v>
      </c>
      <c r="C30" s="20"/>
      <c r="D30" s="20"/>
      <c r="E30" s="11"/>
      <c r="F30" s="11"/>
      <c r="G30" s="11"/>
      <c r="H30" s="20"/>
      <c r="I30" s="11">
        <v>8</v>
      </c>
      <c r="J30" s="11"/>
      <c r="K30" s="11">
        <v>8</v>
      </c>
      <c r="L30" s="11"/>
      <c r="M30" s="11">
        <v>8</v>
      </c>
      <c r="N30" s="11"/>
      <c r="O30" s="11"/>
      <c r="P30" s="11"/>
      <c r="Q30" s="21">
        <f t="shared" si="5"/>
        <v>24</v>
      </c>
      <c r="R30" s="21">
        <f t="shared" si="5"/>
        <v>0</v>
      </c>
      <c r="S30" s="22">
        <f t="shared" si="6"/>
        <v>24</v>
      </c>
      <c r="T30" s="11">
        <v>60</v>
      </c>
      <c r="U30" s="22">
        <f t="shared" si="7"/>
        <v>1440</v>
      </c>
      <c r="V30" s="11"/>
      <c r="W30" s="11"/>
      <c r="X30" s="4"/>
      <c r="Y30" s="4"/>
    </row>
    <row r="31" spans="2:25" ht="21" x14ac:dyDescent="0.4">
      <c r="B31" s="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4"/>
      <c r="R31" s="4"/>
      <c r="S31" s="4"/>
      <c r="T31" s="26"/>
      <c r="U31" s="27">
        <f>SUM(U23:U30)</f>
        <v>15840</v>
      </c>
      <c r="V31" s="28"/>
      <c r="W31" s="28">
        <f>SUM(W27:W30)</f>
        <v>0</v>
      </c>
      <c r="X31" s="4"/>
      <c r="Y31" s="4"/>
    </row>
    <row r="34" spans="2:36" ht="23.4" x14ac:dyDescent="0.3">
      <c r="B34" s="1" t="s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  <c r="X34" s="4"/>
      <c r="Y34" s="4"/>
    </row>
    <row r="35" spans="2:36" ht="23.4" x14ac:dyDescent="0.3">
      <c r="B35" s="1" t="s">
        <v>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3"/>
      <c r="X35" s="4"/>
      <c r="Y35" s="4"/>
    </row>
    <row r="36" spans="2:36" x14ac:dyDescent="0.3">
      <c r="B36" s="5" t="s">
        <v>28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4"/>
      <c r="Y36" s="4"/>
    </row>
    <row r="37" spans="2:36" ht="21" x14ac:dyDescent="0.3">
      <c r="B37" s="8" t="str">
        <f>B36</f>
        <v>Oct 4-10</v>
      </c>
      <c r="C37" s="9">
        <v>4</v>
      </c>
      <c r="D37" s="9" t="s">
        <v>3</v>
      </c>
      <c r="E37" s="10">
        <v>5</v>
      </c>
      <c r="F37" s="10" t="s">
        <v>3</v>
      </c>
      <c r="G37" s="10">
        <v>6</v>
      </c>
      <c r="H37" s="10" t="s">
        <v>3</v>
      </c>
      <c r="I37" s="11">
        <v>7</v>
      </c>
      <c r="J37" s="10" t="s">
        <v>3</v>
      </c>
      <c r="K37" s="11">
        <v>8</v>
      </c>
      <c r="L37" s="10" t="s">
        <v>3</v>
      </c>
      <c r="M37" s="11">
        <v>9</v>
      </c>
      <c r="N37" s="11" t="s">
        <v>3</v>
      </c>
      <c r="O37" s="11">
        <v>10</v>
      </c>
      <c r="P37" s="10" t="s">
        <v>3</v>
      </c>
      <c r="Q37" s="12" t="s">
        <v>4</v>
      </c>
      <c r="R37" s="8" t="s">
        <v>5</v>
      </c>
      <c r="S37" s="8" t="s">
        <v>4</v>
      </c>
      <c r="T37" s="8" t="s">
        <v>6</v>
      </c>
      <c r="U37" s="8" t="s">
        <v>7</v>
      </c>
      <c r="V37" s="8" t="s">
        <v>8</v>
      </c>
      <c r="W37" s="8" t="s">
        <v>9</v>
      </c>
      <c r="X37" s="4"/>
      <c r="Y37" s="4"/>
    </row>
    <row r="38" spans="2:36" ht="21" x14ac:dyDescent="0.3">
      <c r="B38" s="13"/>
      <c r="C38" s="14" t="s">
        <v>10</v>
      </c>
      <c r="D38" s="15"/>
      <c r="E38" s="16" t="s">
        <v>11</v>
      </c>
      <c r="F38" s="17"/>
      <c r="G38" s="16" t="s">
        <v>12</v>
      </c>
      <c r="H38" s="17"/>
      <c r="I38" s="16" t="s">
        <v>13</v>
      </c>
      <c r="J38" s="17"/>
      <c r="K38" s="16" t="s">
        <v>14</v>
      </c>
      <c r="L38" s="17"/>
      <c r="M38" s="16" t="s">
        <v>15</v>
      </c>
      <c r="N38" s="17"/>
      <c r="O38" s="16" t="s">
        <v>16</v>
      </c>
      <c r="P38" s="17"/>
      <c r="Q38" s="18"/>
      <c r="R38" s="13"/>
      <c r="S38" s="13"/>
      <c r="T38" s="13"/>
      <c r="U38" s="13"/>
      <c r="V38" s="13"/>
      <c r="W38" s="13"/>
      <c r="X38" s="4"/>
      <c r="Y38" s="4"/>
    </row>
    <row r="39" spans="2:36" ht="21" x14ac:dyDescent="0.3">
      <c r="B39" s="19" t="s">
        <v>17</v>
      </c>
      <c r="C39" s="20"/>
      <c r="D39" s="20"/>
      <c r="E39" s="20"/>
      <c r="F39" s="10"/>
      <c r="G39" s="20">
        <v>8</v>
      </c>
      <c r="H39" s="20"/>
      <c r="I39" s="11">
        <v>8</v>
      </c>
      <c r="J39" s="11"/>
      <c r="K39" s="11"/>
      <c r="L39" s="11"/>
      <c r="M39" s="11">
        <v>8</v>
      </c>
      <c r="N39" s="11"/>
      <c r="O39" s="11">
        <v>8</v>
      </c>
      <c r="P39" s="11"/>
      <c r="Q39" s="21">
        <f t="shared" ref="Q39:R46" si="8">C39+E39+G39+I39+K39+M39+O39</f>
        <v>32</v>
      </c>
      <c r="R39" s="21">
        <f t="shared" si="8"/>
        <v>0</v>
      </c>
      <c r="S39" s="22">
        <f t="shared" ref="S39:S42" si="9">Q39+R39</f>
        <v>32</v>
      </c>
      <c r="T39" s="11">
        <v>60</v>
      </c>
      <c r="U39" s="22">
        <f t="shared" ref="U39:U46" si="10">S39*T39</f>
        <v>1920</v>
      </c>
      <c r="V39" s="10"/>
      <c r="W39" s="10"/>
      <c r="X39" s="4"/>
      <c r="Y39" s="4"/>
    </row>
    <row r="40" spans="2:36" ht="21" x14ac:dyDescent="0.3">
      <c r="B40" s="19" t="s">
        <v>18</v>
      </c>
      <c r="C40" s="20">
        <v>8</v>
      </c>
      <c r="D40" s="20"/>
      <c r="E40" s="20"/>
      <c r="F40" s="10"/>
      <c r="G40" s="20">
        <v>8</v>
      </c>
      <c r="H40" s="20"/>
      <c r="I40" s="11">
        <v>8</v>
      </c>
      <c r="J40" s="11"/>
      <c r="K40" s="11">
        <v>8</v>
      </c>
      <c r="L40" s="11"/>
      <c r="M40" s="11">
        <v>8</v>
      </c>
      <c r="N40" s="11"/>
      <c r="O40" s="11">
        <v>8</v>
      </c>
      <c r="P40" s="11"/>
      <c r="Q40" s="21">
        <f t="shared" si="8"/>
        <v>48</v>
      </c>
      <c r="R40" s="21">
        <f t="shared" si="8"/>
        <v>0</v>
      </c>
      <c r="S40" s="22">
        <f t="shared" si="9"/>
        <v>48</v>
      </c>
      <c r="T40" s="11">
        <v>60</v>
      </c>
      <c r="U40" s="22">
        <f t="shared" si="10"/>
        <v>2880</v>
      </c>
      <c r="V40" s="10"/>
      <c r="W40" s="10"/>
      <c r="X40" s="4"/>
      <c r="Y40" s="4"/>
    </row>
    <row r="41" spans="2:36" ht="21" x14ac:dyDescent="0.3">
      <c r="B41" s="19" t="s">
        <v>19</v>
      </c>
      <c r="C41" s="20">
        <v>8</v>
      </c>
      <c r="D41" s="20"/>
      <c r="E41" s="20"/>
      <c r="F41" s="10"/>
      <c r="G41" s="20">
        <v>8</v>
      </c>
      <c r="H41" s="20"/>
      <c r="I41" s="11">
        <v>8</v>
      </c>
      <c r="J41" s="11"/>
      <c r="K41" s="11">
        <v>8</v>
      </c>
      <c r="L41" s="11"/>
      <c r="M41" s="11">
        <v>8</v>
      </c>
      <c r="N41" s="11"/>
      <c r="O41" s="11">
        <v>8</v>
      </c>
      <c r="P41" s="11"/>
      <c r="Q41" s="21">
        <f t="shared" si="8"/>
        <v>48</v>
      </c>
      <c r="R41" s="21">
        <f t="shared" si="8"/>
        <v>0</v>
      </c>
      <c r="S41" s="22">
        <f t="shared" si="9"/>
        <v>48</v>
      </c>
      <c r="T41" s="11">
        <v>60</v>
      </c>
      <c r="U41" s="22">
        <f t="shared" si="10"/>
        <v>2880</v>
      </c>
      <c r="V41" s="10"/>
      <c r="W41" s="10"/>
      <c r="X41" s="4"/>
      <c r="Y41" s="4"/>
    </row>
    <row r="42" spans="2:36" ht="21" x14ac:dyDescent="0.3">
      <c r="B42" s="19" t="s">
        <v>20</v>
      </c>
      <c r="C42" s="20">
        <v>8</v>
      </c>
      <c r="D42" s="20"/>
      <c r="E42" s="20"/>
      <c r="F42" s="10"/>
      <c r="G42" s="20">
        <v>8</v>
      </c>
      <c r="H42" s="20"/>
      <c r="I42" s="11">
        <v>8</v>
      </c>
      <c r="J42" s="11"/>
      <c r="K42" s="11">
        <v>8</v>
      </c>
      <c r="L42" s="11"/>
      <c r="M42" s="11">
        <v>8</v>
      </c>
      <c r="N42" s="11"/>
      <c r="O42" s="11">
        <v>8</v>
      </c>
      <c r="P42" s="11"/>
      <c r="Q42" s="21">
        <f t="shared" si="8"/>
        <v>48</v>
      </c>
      <c r="R42" s="21">
        <f t="shared" si="8"/>
        <v>0</v>
      </c>
      <c r="S42" s="22">
        <f t="shared" si="9"/>
        <v>48</v>
      </c>
      <c r="T42" s="11">
        <v>60</v>
      </c>
      <c r="U42" s="22">
        <f t="shared" si="10"/>
        <v>2880</v>
      </c>
      <c r="V42" s="10"/>
      <c r="W42" s="10"/>
      <c r="X42" s="4"/>
      <c r="Y42" s="4"/>
    </row>
    <row r="43" spans="2:36" ht="21" x14ac:dyDescent="0.3">
      <c r="B43" s="23" t="s">
        <v>23</v>
      </c>
      <c r="C43" s="20">
        <v>8</v>
      </c>
      <c r="D43" s="20"/>
      <c r="E43" s="20"/>
      <c r="F43" s="10"/>
      <c r="G43" s="20"/>
      <c r="H43" s="20"/>
      <c r="I43" s="11"/>
      <c r="J43" s="11"/>
      <c r="K43" s="11"/>
      <c r="L43" s="11"/>
      <c r="M43" s="11"/>
      <c r="N43" s="11"/>
      <c r="O43" s="11"/>
      <c r="P43" s="11"/>
      <c r="Q43" s="21">
        <f>C43+E43+G43+I43+K43+M43+O43</f>
        <v>8</v>
      </c>
      <c r="R43" s="21">
        <f t="shared" si="8"/>
        <v>0</v>
      </c>
      <c r="S43" s="22">
        <f>Q43+R43</f>
        <v>8</v>
      </c>
      <c r="T43" s="11">
        <v>60</v>
      </c>
      <c r="U43" s="22">
        <f t="shared" si="10"/>
        <v>480</v>
      </c>
      <c r="V43" s="11"/>
      <c r="W43" s="11"/>
      <c r="X43" s="4"/>
      <c r="Y43" s="4"/>
    </row>
    <row r="44" spans="2:36" ht="21" x14ac:dyDescent="0.3">
      <c r="B44" s="23" t="s">
        <v>24</v>
      </c>
      <c r="C44" s="20">
        <v>8</v>
      </c>
      <c r="D44" s="20"/>
      <c r="E44" s="20"/>
      <c r="F44" s="10"/>
      <c r="G44" s="20"/>
      <c r="H44" s="20"/>
      <c r="I44" s="11"/>
      <c r="J44" s="11"/>
      <c r="K44" s="11"/>
      <c r="L44" s="11"/>
      <c r="M44" s="11"/>
      <c r="N44" s="11"/>
      <c r="O44" s="11"/>
      <c r="P44" s="11"/>
      <c r="Q44" s="21">
        <f>C44+E44+G44+I44+K44+M44+O44</f>
        <v>8</v>
      </c>
      <c r="R44" s="21">
        <f t="shared" si="8"/>
        <v>0</v>
      </c>
      <c r="S44" s="22">
        <f t="shared" ref="S44:S46" si="11">Q44+R44</f>
        <v>8</v>
      </c>
      <c r="T44" s="11">
        <v>60</v>
      </c>
      <c r="U44" s="22">
        <f t="shared" si="10"/>
        <v>480</v>
      </c>
      <c r="V44" s="11"/>
      <c r="W44" s="11"/>
      <c r="X44" s="4"/>
      <c r="Y44" s="4"/>
    </row>
    <row r="45" spans="2:36" ht="21" x14ac:dyDescent="0.3">
      <c r="B45" s="23" t="s">
        <v>25</v>
      </c>
      <c r="C45" s="20"/>
      <c r="D45" s="20"/>
      <c r="E45" s="20"/>
      <c r="F45" s="10"/>
      <c r="G45" s="20"/>
      <c r="H45" s="20"/>
      <c r="I45" s="11"/>
      <c r="J45" s="11"/>
      <c r="K45" s="11"/>
      <c r="L45" s="11"/>
      <c r="M45" s="11"/>
      <c r="N45" s="11"/>
      <c r="O45" s="11"/>
      <c r="P45" s="11"/>
      <c r="Q45" s="21">
        <f t="shared" ref="Q45:Q46" si="12">C45+E45+G45+I45+K45+M45+O45</f>
        <v>0</v>
      </c>
      <c r="R45" s="21">
        <f t="shared" si="8"/>
        <v>0</v>
      </c>
      <c r="S45" s="22">
        <f t="shared" si="11"/>
        <v>0</v>
      </c>
      <c r="T45" s="11">
        <v>60</v>
      </c>
      <c r="U45" s="22">
        <f t="shared" si="10"/>
        <v>0</v>
      </c>
      <c r="V45" s="11"/>
      <c r="W45" s="11"/>
      <c r="X45" s="4"/>
      <c r="Y45" s="4"/>
    </row>
    <row r="46" spans="2:36" ht="21" x14ac:dyDescent="0.3">
      <c r="B46" s="23" t="s">
        <v>26</v>
      </c>
      <c r="C46" s="20"/>
      <c r="D46" s="20"/>
      <c r="E46" s="20"/>
      <c r="F46" s="10"/>
      <c r="G46" s="20"/>
      <c r="H46" s="20"/>
      <c r="I46" s="11"/>
      <c r="J46" s="11"/>
      <c r="K46" s="11"/>
      <c r="L46" s="11"/>
      <c r="M46" s="11"/>
      <c r="N46" s="11"/>
      <c r="O46" s="11"/>
      <c r="P46" s="11"/>
      <c r="Q46" s="21">
        <f t="shared" si="12"/>
        <v>0</v>
      </c>
      <c r="R46" s="21">
        <f t="shared" si="8"/>
        <v>0</v>
      </c>
      <c r="S46" s="22">
        <f t="shared" si="11"/>
        <v>0</v>
      </c>
      <c r="T46" s="11">
        <v>60</v>
      </c>
      <c r="U46" s="22">
        <f t="shared" si="10"/>
        <v>0</v>
      </c>
      <c r="V46" s="11"/>
      <c r="W46" s="11"/>
      <c r="X46" s="4"/>
      <c r="Y46" s="4"/>
    </row>
    <row r="47" spans="2:36" ht="21" x14ac:dyDescent="0.4">
      <c r="B47" s="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4"/>
      <c r="R47" s="4"/>
      <c r="S47" s="4"/>
      <c r="T47" s="26"/>
      <c r="U47" s="27">
        <f>SUM(U39:U46)</f>
        <v>11520</v>
      </c>
      <c r="V47" s="28"/>
      <c r="W47" s="28">
        <f>SUM(W43:W46)</f>
        <v>0</v>
      </c>
      <c r="X47" s="4"/>
      <c r="Y47" s="4"/>
    </row>
    <row r="48" spans="2:36" ht="21" x14ac:dyDescent="0.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6"/>
      <c r="U48" s="30"/>
      <c r="V48" s="31"/>
      <c r="W48" s="31"/>
      <c r="X48" s="4"/>
      <c r="Y48" s="4"/>
      <c r="AJ48" s="32"/>
    </row>
    <row r="49" spans="2:25" ht="23.4" x14ac:dyDescent="0.3">
      <c r="B49" s="1" t="s">
        <v>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4"/>
      <c r="Y49" s="4"/>
    </row>
    <row r="50" spans="2:25" ht="23.4" x14ac:dyDescent="0.3">
      <c r="B50" s="1" t="s">
        <v>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3"/>
      <c r="X50" s="4"/>
      <c r="Y50" s="4"/>
    </row>
    <row r="51" spans="2:25" x14ac:dyDescent="0.3">
      <c r="B51" s="5" t="s">
        <v>29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4"/>
      <c r="Y51" s="4"/>
    </row>
    <row r="52" spans="2:25" ht="21" x14ac:dyDescent="0.3">
      <c r="B52" s="8" t="str">
        <f>B51</f>
        <v>Oct 11-17</v>
      </c>
      <c r="C52" s="9">
        <v>11</v>
      </c>
      <c r="D52" s="9" t="s">
        <v>3</v>
      </c>
      <c r="E52" s="10">
        <v>12</v>
      </c>
      <c r="F52" s="10" t="s">
        <v>3</v>
      </c>
      <c r="G52" s="10">
        <v>13</v>
      </c>
      <c r="H52" s="10" t="s">
        <v>3</v>
      </c>
      <c r="I52" s="11">
        <v>14</v>
      </c>
      <c r="J52" s="10" t="s">
        <v>3</v>
      </c>
      <c r="K52" s="11">
        <v>15</v>
      </c>
      <c r="L52" s="10" t="s">
        <v>3</v>
      </c>
      <c r="M52" s="11">
        <v>16</v>
      </c>
      <c r="N52" s="11" t="s">
        <v>3</v>
      </c>
      <c r="O52" s="11">
        <v>17</v>
      </c>
      <c r="P52" s="10" t="s">
        <v>3</v>
      </c>
      <c r="Q52" s="12" t="s">
        <v>4</v>
      </c>
      <c r="R52" s="8" t="s">
        <v>5</v>
      </c>
      <c r="S52" s="8" t="s">
        <v>4</v>
      </c>
      <c r="T52" s="8" t="s">
        <v>6</v>
      </c>
      <c r="U52" s="8" t="s">
        <v>7</v>
      </c>
      <c r="V52" s="8" t="s">
        <v>8</v>
      </c>
      <c r="W52" s="8" t="s">
        <v>9</v>
      </c>
      <c r="X52" s="4"/>
      <c r="Y52" s="4"/>
    </row>
    <row r="53" spans="2:25" ht="21" x14ac:dyDescent="0.3">
      <c r="B53" s="13"/>
      <c r="C53" s="14" t="s">
        <v>10</v>
      </c>
      <c r="D53" s="15"/>
      <c r="E53" s="16" t="s">
        <v>11</v>
      </c>
      <c r="F53" s="17"/>
      <c r="G53" s="16" t="s">
        <v>12</v>
      </c>
      <c r="H53" s="17"/>
      <c r="I53" s="16" t="s">
        <v>13</v>
      </c>
      <c r="J53" s="17"/>
      <c r="K53" s="16" t="s">
        <v>14</v>
      </c>
      <c r="L53" s="17"/>
      <c r="M53" s="16" t="s">
        <v>15</v>
      </c>
      <c r="N53" s="17"/>
      <c r="O53" s="16" t="s">
        <v>16</v>
      </c>
      <c r="P53" s="17"/>
      <c r="Q53" s="18"/>
      <c r="R53" s="13"/>
      <c r="S53" s="13"/>
      <c r="T53" s="13"/>
      <c r="U53" s="13"/>
      <c r="V53" s="13"/>
      <c r="W53" s="13"/>
      <c r="X53" s="4"/>
      <c r="Y53" s="4"/>
    </row>
    <row r="54" spans="2:25" ht="21" x14ac:dyDescent="0.3">
      <c r="B54" s="19" t="s">
        <v>17</v>
      </c>
      <c r="C54" s="20"/>
      <c r="D54" s="20"/>
      <c r="E54" s="20"/>
      <c r="F54" s="10"/>
      <c r="G54" s="20">
        <v>8</v>
      </c>
      <c r="H54" s="20"/>
      <c r="I54" s="11">
        <v>8</v>
      </c>
      <c r="J54" s="11"/>
      <c r="K54" s="11"/>
      <c r="L54" s="11"/>
      <c r="M54" s="11">
        <v>8</v>
      </c>
      <c r="N54" s="11"/>
      <c r="O54" s="11">
        <v>8</v>
      </c>
      <c r="P54" s="11"/>
      <c r="Q54" s="21">
        <f t="shared" ref="Q54:R63" si="13">C54+E54+G54+I54+K54+M54+O54</f>
        <v>32</v>
      </c>
      <c r="R54" s="21">
        <f t="shared" si="13"/>
        <v>0</v>
      </c>
      <c r="S54" s="22">
        <f t="shared" ref="S54:S57" si="14">Q54+R54</f>
        <v>32</v>
      </c>
      <c r="T54" s="11">
        <v>60</v>
      </c>
      <c r="U54" s="22">
        <f t="shared" ref="U54:U63" si="15">S54*T54</f>
        <v>1920</v>
      </c>
      <c r="V54" s="10"/>
      <c r="W54" s="10"/>
      <c r="X54" s="4"/>
      <c r="Y54" s="4"/>
    </row>
    <row r="55" spans="2:25" ht="21" x14ac:dyDescent="0.3">
      <c r="B55" s="19" t="s">
        <v>18</v>
      </c>
      <c r="C55" s="20">
        <v>8</v>
      </c>
      <c r="D55" s="20"/>
      <c r="E55" s="20"/>
      <c r="F55" s="10"/>
      <c r="G55" s="20">
        <v>8</v>
      </c>
      <c r="H55" s="20"/>
      <c r="I55" s="11">
        <v>8</v>
      </c>
      <c r="J55" s="11"/>
      <c r="K55" s="11">
        <v>8</v>
      </c>
      <c r="L55" s="11"/>
      <c r="M55" s="11">
        <v>8</v>
      </c>
      <c r="N55" s="11"/>
      <c r="O55" s="11">
        <v>8</v>
      </c>
      <c r="P55" s="11"/>
      <c r="Q55" s="21">
        <f t="shared" si="13"/>
        <v>48</v>
      </c>
      <c r="R55" s="21">
        <f t="shared" si="13"/>
        <v>0</v>
      </c>
      <c r="S55" s="22">
        <f t="shared" si="14"/>
        <v>48</v>
      </c>
      <c r="T55" s="11">
        <v>60</v>
      </c>
      <c r="U55" s="22">
        <f t="shared" si="15"/>
        <v>2880</v>
      </c>
      <c r="V55" s="10"/>
      <c r="W55" s="10"/>
      <c r="X55" s="4"/>
      <c r="Y55" s="4"/>
    </row>
    <row r="56" spans="2:25" ht="21" x14ac:dyDescent="0.3">
      <c r="B56" s="19" t="s">
        <v>19</v>
      </c>
      <c r="C56" s="20">
        <v>8</v>
      </c>
      <c r="D56" s="20"/>
      <c r="E56" s="20"/>
      <c r="F56" s="10"/>
      <c r="G56" s="20">
        <v>8</v>
      </c>
      <c r="H56" s="20"/>
      <c r="I56" s="11">
        <v>8</v>
      </c>
      <c r="J56" s="11"/>
      <c r="K56" s="11">
        <v>8</v>
      </c>
      <c r="L56" s="11"/>
      <c r="M56" s="11">
        <v>8</v>
      </c>
      <c r="N56" s="11"/>
      <c r="O56" s="11">
        <v>8</v>
      </c>
      <c r="P56" s="11"/>
      <c r="Q56" s="21">
        <f t="shared" si="13"/>
        <v>48</v>
      </c>
      <c r="R56" s="21">
        <f t="shared" si="13"/>
        <v>0</v>
      </c>
      <c r="S56" s="22">
        <f t="shared" si="14"/>
        <v>48</v>
      </c>
      <c r="T56" s="11">
        <v>60</v>
      </c>
      <c r="U56" s="22">
        <f t="shared" si="15"/>
        <v>2880</v>
      </c>
      <c r="V56" s="10"/>
      <c r="W56" s="10"/>
      <c r="X56" s="4"/>
      <c r="Y56" s="4"/>
    </row>
    <row r="57" spans="2:25" ht="21" x14ac:dyDescent="0.3">
      <c r="B57" s="19" t="s">
        <v>20</v>
      </c>
      <c r="C57" s="20">
        <v>8</v>
      </c>
      <c r="D57" s="20"/>
      <c r="E57" s="20"/>
      <c r="F57" s="10"/>
      <c r="G57" s="20">
        <v>8</v>
      </c>
      <c r="H57" s="20"/>
      <c r="I57" s="11">
        <v>8</v>
      </c>
      <c r="J57" s="11"/>
      <c r="K57" s="11">
        <v>8</v>
      </c>
      <c r="L57" s="11"/>
      <c r="M57" s="11">
        <v>8</v>
      </c>
      <c r="N57" s="11"/>
      <c r="O57" s="11">
        <v>8</v>
      </c>
      <c r="P57" s="11"/>
      <c r="Q57" s="21">
        <f t="shared" si="13"/>
        <v>48</v>
      </c>
      <c r="R57" s="21">
        <f t="shared" si="13"/>
        <v>0</v>
      </c>
      <c r="S57" s="22">
        <f t="shared" si="14"/>
        <v>48</v>
      </c>
      <c r="T57" s="11">
        <v>60</v>
      </c>
      <c r="U57" s="22">
        <f t="shared" si="15"/>
        <v>2880</v>
      </c>
      <c r="V57" s="10"/>
      <c r="W57" s="10"/>
      <c r="X57" s="4"/>
      <c r="Y57" s="4"/>
    </row>
    <row r="58" spans="2:25" ht="21" x14ac:dyDescent="0.3">
      <c r="B58" s="33" t="s">
        <v>30</v>
      </c>
      <c r="C58" s="20">
        <v>8</v>
      </c>
      <c r="D58" s="20"/>
      <c r="E58" s="20"/>
      <c r="F58" s="10"/>
      <c r="G58" s="20">
        <v>8</v>
      </c>
      <c r="H58" s="20"/>
      <c r="I58" s="11">
        <v>8</v>
      </c>
      <c r="J58" s="11"/>
      <c r="K58" s="11">
        <v>8</v>
      </c>
      <c r="L58" s="11"/>
      <c r="M58" s="11">
        <v>8</v>
      </c>
      <c r="N58" s="11"/>
      <c r="O58" s="11">
        <v>8</v>
      </c>
      <c r="P58" s="11"/>
      <c r="Q58" s="21">
        <f>C58+E58+G58+I58+K58+M58+O58</f>
        <v>48</v>
      </c>
      <c r="R58" s="21">
        <f t="shared" si="13"/>
        <v>0</v>
      </c>
      <c r="S58" s="22">
        <f>Q58+R58</f>
        <v>48</v>
      </c>
      <c r="T58" s="11">
        <v>60</v>
      </c>
      <c r="U58" s="22">
        <f t="shared" si="15"/>
        <v>2880</v>
      </c>
      <c r="V58" s="11"/>
      <c r="W58" s="11"/>
      <c r="X58" s="4"/>
      <c r="Y58" s="4"/>
    </row>
    <row r="59" spans="2:25" ht="21" x14ac:dyDescent="0.3">
      <c r="B59" s="23"/>
      <c r="C59" s="20"/>
      <c r="D59" s="20"/>
      <c r="E59" s="20"/>
      <c r="F59" s="10"/>
      <c r="G59" s="20"/>
      <c r="H59" s="20"/>
      <c r="I59" s="11"/>
      <c r="J59" s="11"/>
      <c r="K59" s="11"/>
      <c r="L59" s="11"/>
      <c r="M59" s="11"/>
      <c r="N59" s="11"/>
      <c r="O59" s="11"/>
      <c r="P59" s="11"/>
      <c r="Q59" s="21"/>
      <c r="R59" s="21"/>
      <c r="S59" s="22"/>
      <c r="T59" s="11"/>
      <c r="U59" s="22"/>
      <c r="V59" s="11"/>
      <c r="W59" s="11"/>
      <c r="X59" s="4"/>
      <c r="Y59" s="4"/>
    </row>
    <row r="60" spans="2:25" ht="21" x14ac:dyDescent="0.3">
      <c r="B60" s="23"/>
      <c r="C60" s="20"/>
      <c r="D60" s="20"/>
      <c r="E60" s="20"/>
      <c r="F60" s="10"/>
      <c r="G60" s="20"/>
      <c r="H60" s="20"/>
      <c r="I60" s="11"/>
      <c r="J60" s="11"/>
      <c r="K60" s="11"/>
      <c r="L60" s="11"/>
      <c r="M60" s="11"/>
      <c r="N60" s="11"/>
      <c r="O60" s="11"/>
      <c r="P60" s="11"/>
      <c r="Q60" s="21"/>
      <c r="R60" s="21"/>
      <c r="S60" s="22"/>
      <c r="T60" s="11"/>
      <c r="U60" s="22"/>
      <c r="V60" s="11"/>
      <c r="W60" s="11"/>
      <c r="X60" s="4"/>
      <c r="Y60" s="4"/>
    </row>
    <row r="61" spans="2:25" ht="21" x14ac:dyDescent="0.3">
      <c r="B61" s="23"/>
      <c r="C61" s="20"/>
      <c r="D61" s="20"/>
      <c r="E61" s="20"/>
      <c r="F61" s="10"/>
      <c r="G61" s="20"/>
      <c r="H61" s="20"/>
      <c r="I61" s="11"/>
      <c r="J61" s="11"/>
      <c r="K61" s="11"/>
      <c r="L61" s="11"/>
      <c r="M61" s="11"/>
      <c r="N61" s="11"/>
      <c r="O61" s="11"/>
      <c r="P61" s="11"/>
      <c r="Q61" s="21">
        <f>C61+E61+G61+I61+K61+M61+O61</f>
        <v>0</v>
      </c>
      <c r="R61" s="21">
        <f t="shared" si="13"/>
        <v>0</v>
      </c>
      <c r="S61" s="22">
        <f t="shared" ref="S61:S63" si="16">Q61+R61</f>
        <v>0</v>
      </c>
      <c r="T61" s="11">
        <v>60</v>
      </c>
      <c r="U61" s="22">
        <f t="shared" si="15"/>
        <v>0</v>
      </c>
      <c r="V61" s="11"/>
      <c r="W61" s="11"/>
      <c r="X61" s="4"/>
      <c r="Y61" s="4"/>
    </row>
    <row r="62" spans="2:25" ht="21" x14ac:dyDescent="0.3">
      <c r="B62" s="23"/>
      <c r="C62" s="20"/>
      <c r="D62" s="20"/>
      <c r="E62" s="20"/>
      <c r="F62" s="10"/>
      <c r="G62" s="20"/>
      <c r="H62" s="20"/>
      <c r="I62" s="11"/>
      <c r="J62" s="11"/>
      <c r="K62" s="11"/>
      <c r="L62" s="11"/>
      <c r="M62" s="11"/>
      <c r="N62" s="11"/>
      <c r="O62" s="11"/>
      <c r="P62" s="11"/>
      <c r="Q62" s="21">
        <f t="shared" ref="Q62:Q63" si="17">C62+E62+G62+I62+K62+M62+O62</f>
        <v>0</v>
      </c>
      <c r="R62" s="21">
        <f t="shared" si="13"/>
        <v>0</v>
      </c>
      <c r="S62" s="22">
        <f t="shared" si="16"/>
        <v>0</v>
      </c>
      <c r="T62" s="11">
        <v>60</v>
      </c>
      <c r="U62" s="22">
        <f t="shared" si="15"/>
        <v>0</v>
      </c>
      <c r="V62" s="11"/>
      <c r="W62" s="11"/>
      <c r="X62" s="4"/>
      <c r="Y62" s="4"/>
    </row>
    <row r="63" spans="2:25" ht="21" x14ac:dyDescent="0.3">
      <c r="B63" s="23"/>
      <c r="C63" s="20"/>
      <c r="D63" s="20"/>
      <c r="E63" s="20"/>
      <c r="F63" s="10"/>
      <c r="G63" s="20"/>
      <c r="H63" s="20"/>
      <c r="I63" s="11"/>
      <c r="J63" s="11"/>
      <c r="K63" s="11"/>
      <c r="L63" s="11"/>
      <c r="M63" s="11"/>
      <c r="N63" s="11"/>
      <c r="O63" s="11"/>
      <c r="P63" s="11"/>
      <c r="Q63" s="21">
        <f t="shared" si="17"/>
        <v>0</v>
      </c>
      <c r="R63" s="21">
        <f t="shared" si="13"/>
        <v>0</v>
      </c>
      <c r="S63" s="22">
        <f t="shared" si="16"/>
        <v>0</v>
      </c>
      <c r="T63" s="11">
        <v>60</v>
      </c>
      <c r="U63" s="22">
        <f t="shared" si="15"/>
        <v>0</v>
      </c>
      <c r="V63" s="11"/>
      <c r="W63" s="11"/>
      <c r="X63" s="4"/>
      <c r="Y63" s="4"/>
    </row>
    <row r="64" spans="2:25" ht="21" x14ac:dyDescent="0.4">
      <c r="B64" s="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4"/>
      <c r="R64" s="4"/>
      <c r="S64" s="4"/>
      <c r="T64" s="26"/>
      <c r="U64" s="27">
        <f>SUM(U54:U63)</f>
        <v>13440</v>
      </c>
      <c r="V64" s="28"/>
      <c r="W64" s="28">
        <f>SUM(W58:W63)</f>
        <v>0</v>
      </c>
      <c r="X64" s="4"/>
      <c r="Y64" s="4"/>
    </row>
    <row r="65" spans="2:36" ht="21" x14ac:dyDescent="0.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26"/>
      <c r="U65" s="30"/>
      <c r="V65" s="31"/>
      <c r="W65" s="31"/>
      <c r="X65" s="4"/>
      <c r="Y65" s="4"/>
      <c r="AJ65" s="32"/>
    </row>
    <row r="66" spans="2:36" ht="23.4" x14ac:dyDescent="0.3">
      <c r="B66" s="1" t="s">
        <v>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  <c r="X66" s="4"/>
      <c r="Y66" s="4"/>
    </row>
    <row r="67" spans="2:36" ht="23.4" x14ac:dyDescent="0.3">
      <c r="B67" s="1" t="s">
        <v>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3"/>
      <c r="X67" s="4"/>
      <c r="Y67" s="4"/>
    </row>
    <row r="68" spans="2:36" x14ac:dyDescent="0.3">
      <c r="B68" s="5" t="s">
        <v>31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4"/>
      <c r="Y68" s="4"/>
    </row>
    <row r="69" spans="2:36" ht="21" x14ac:dyDescent="0.3">
      <c r="B69" s="8" t="str">
        <f>B68</f>
        <v>Oct 18-24</v>
      </c>
      <c r="C69" s="9">
        <v>18</v>
      </c>
      <c r="D69" s="9" t="s">
        <v>3</v>
      </c>
      <c r="E69" s="10">
        <v>19</v>
      </c>
      <c r="F69" s="10" t="s">
        <v>3</v>
      </c>
      <c r="G69" s="10">
        <v>20</v>
      </c>
      <c r="H69" s="10" t="s">
        <v>3</v>
      </c>
      <c r="I69" s="11">
        <v>21</v>
      </c>
      <c r="J69" s="10" t="s">
        <v>3</v>
      </c>
      <c r="K69" s="11">
        <v>22</v>
      </c>
      <c r="L69" s="10" t="s">
        <v>3</v>
      </c>
      <c r="M69" s="11">
        <v>13</v>
      </c>
      <c r="N69" s="11" t="s">
        <v>3</v>
      </c>
      <c r="O69" s="11">
        <v>14</v>
      </c>
      <c r="P69" s="10" t="s">
        <v>3</v>
      </c>
      <c r="Q69" s="12" t="s">
        <v>4</v>
      </c>
      <c r="R69" s="8" t="s">
        <v>5</v>
      </c>
      <c r="S69" s="8" t="s">
        <v>4</v>
      </c>
      <c r="T69" s="8" t="s">
        <v>6</v>
      </c>
      <c r="U69" s="8" t="s">
        <v>7</v>
      </c>
      <c r="V69" s="8" t="s">
        <v>8</v>
      </c>
      <c r="W69" s="8" t="s">
        <v>9</v>
      </c>
      <c r="X69" s="4"/>
      <c r="Y69" s="4"/>
    </row>
    <row r="70" spans="2:36" ht="21" x14ac:dyDescent="0.3">
      <c r="B70" s="13"/>
      <c r="C70" s="14" t="s">
        <v>10</v>
      </c>
      <c r="D70" s="15"/>
      <c r="E70" s="16" t="s">
        <v>11</v>
      </c>
      <c r="F70" s="17"/>
      <c r="G70" s="16" t="s">
        <v>12</v>
      </c>
      <c r="H70" s="17"/>
      <c r="I70" s="16" t="s">
        <v>13</v>
      </c>
      <c r="J70" s="17"/>
      <c r="K70" s="16" t="s">
        <v>14</v>
      </c>
      <c r="L70" s="17"/>
      <c r="M70" s="16" t="s">
        <v>15</v>
      </c>
      <c r="N70" s="17"/>
      <c r="O70" s="16" t="s">
        <v>16</v>
      </c>
      <c r="P70" s="17"/>
      <c r="Q70" s="18"/>
      <c r="R70" s="13"/>
      <c r="S70" s="13"/>
      <c r="T70" s="13"/>
      <c r="U70" s="13"/>
      <c r="V70" s="13"/>
      <c r="W70" s="13"/>
      <c r="X70" s="4"/>
      <c r="Y70" s="4"/>
    </row>
    <row r="71" spans="2:36" ht="21" x14ac:dyDescent="0.3">
      <c r="B71" s="19" t="s">
        <v>17</v>
      </c>
      <c r="C71" s="20"/>
      <c r="D71" s="20"/>
      <c r="E71" s="20"/>
      <c r="F71" s="10"/>
      <c r="G71" s="20">
        <v>8</v>
      </c>
      <c r="H71" s="20"/>
      <c r="I71" s="11">
        <v>8</v>
      </c>
      <c r="J71" s="11"/>
      <c r="K71" s="11"/>
      <c r="L71" s="11"/>
      <c r="M71" s="11">
        <v>8</v>
      </c>
      <c r="N71" s="11"/>
      <c r="O71" s="11">
        <v>8</v>
      </c>
      <c r="P71" s="11"/>
      <c r="Q71" s="21">
        <f t="shared" ref="Q71:R80" si="18">C71+E71+G71+I71+K71+M71+O71</f>
        <v>32</v>
      </c>
      <c r="R71" s="21">
        <f t="shared" si="18"/>
        <v>0</v>
      </c>
      <c r="S71" s="22">
        <f t="shared" ref="S71:S75" si="19">Q71+R71</f>
        <v>32</v>
      </c>
      <c r="T71" s="11">
        <v>60</v>
      </c>
      <c r="U71" s="22">
        <f t="shared" ref="U71:U80" si="20">S71*T71</f>
        <v>1920</v>
      </c>
      <c r="V71" s="10"/>
      <c r="W71" s="10"/>
      <c r="X71" s="4"/>
      <c r="Y71" s="4"/>
    </row>
    <row r="72" spans="2:36" ht="21" x14ac:dyDescent="0.3">
      <c r="B72" s="19" t="s">
        <v>18</v>
      </c>
      <c r="C72" s="20">
        <v>8</v>
      </c>
      <c r="D72" s="20"/>
      <c r="E72" s="20"/>
      <c r="F72" s="10"/>
      <c r="G72" s="20">
        <v>8</v>
      </c>
      <c r="H72" s="20"/>
      <c r="I72" s="11">
        <v>8</v>
      </c>
      <c r="J72" s="11"/>
      <c r="K72" s="11">
        <v>8</v>
      </c>
      <c r="L72" s="11"/>
      <c r="M72" s="11">
        <v>8</v>
      </c>
      <c r="N72" s="11"/>
      <c r="O72" s="11">
        <v>8</v>
      </c>
      <c r="P72" s="11"/>
      <c r="Q72" s="21">
        <f t="shared" si="18"/>
        <v>48</v>
      </c>
      <c r="R72" s="21">
        <f t="shared" si="18"/>
        <v>0</v>
      </c>
      <c r="S72" s="22">
        <f t="shared" si="19"/>
        <v>48</v>
      </c>
      <c r="T72" s="11">
        <v>60</v>
      </c>
      <c r="U72" s="22">
        <f t="shared" si="20"/>
        <v>2880</v>
      </c>
      <c r="V72" s="10"/>
      <c r="W72" s="10"/>
      <c r="X72" s="4"/>
      <c r="Y72" s="4"/>
    </row>
    <row r="73" spans="2:36" ht="21" x14ac:dyDescent="0.3">
      <c r="B73" s="19" t="s">
        <v>19</v>
      </c>
      <c r="C73" s="20">
        <v>8</v>
      </c>
      <c r="D73" s="20"/>
      <c r="E73" s="20"/>
      <c r="F73" s="10"/>
      <c r="G73" s="20">
        <v>8</v>
      </c>
      <c r="H73" s="20"/>
      <c r="I73" s="11">
        <v>8</v>
      </c>
      <c r="J73" s="11"/>
      <c r="K73" s="11">
        <v>8</v>
      </c>
      <c r="L73" s="11"/>
      <c r="M73" s="11">
        <v>8</v>
      </c>
      <c r="N73" s="11"/>
      <c r="O73" s="11">
        <v>8</v>
      </c>
      <c r="P73" s="11"/>
      <c r="Q73" s="21">
        <f t="shared" si="18"/>
        <v>48</v>
      </c>
      <c r="R73" s="21">
        <f t="shared" si="18"/>
        <v>0</v>
      </c>
      <c r="S73" s="22">
        <f t="shared" si="19"/>
        <v>48</v>
      </c>
      <c r="T73" s="11">
        <v>60</v>
      </c>
      <c r="U73" s="22">
        <f t="shared" si="20"/>
        <v>2880</v>
      </c>
      <c r="V73" s="10"/>
      <c r="W73" s="10"/>
      <c r="X73" s="4"/>
      <c r="Y73" s="4"/>
    </row>
    <row r="74" spans="2:36" ht="21" x14ac:dyDescent="0.3">
      <c r="B74" s="19" t="s">
        <v>20</v>
      </c>
      <c r="C74" s="20">
        <v>8</v>
      </c>
      <c r="D74" s="20"/>
      <c r="E74" s="20"/>
      <c r="F74" s="10"/>
      <c r="G74" s="20">
        <v>8</v>
      </c>
      <c r="H74" s="20"/>
      <c r="I74" s="11">
        <v>8</v>
      </c>
      <c r="J74" s="11"/>
      <c r="K74" s="11">
        <v>8</v>
      </c>
      <c r="L74" s="11"/>
      <c r="M74" s="11">
        <v>8</v>
      </c>
      <c r="N74" s="11"/>
      <c r="O74" s="11">
        <v>8</v>
      </c>
      <c r="P74" s="11"/>
      <c r="Q74" s="21">
        <f t="shared" si="18"/>
        <v>48</v>
      </c>
      <c r="R74" s="21">
        <f t="shared" si="18"/>
        <v>0</v>
      </c>
      <c r="S74" s="22">
        <f t="shared" si="19"/>
        <v>48</v>
      </c>
      <c r="T74" s="11">
        <v>60</v>
      </c>
      <c r="U74" s="22">
        <f t="shared" si="20"/>
        <v>2880</v>
      </c>
      <c r="V74" s="10"/>
      <c r="W74" s="10"/>
      <c r="X74" s="4"/>
      <c r="Y74" s="4"/>
    </row>
    <row r="75" spans="2:36" ht="21" x14ac:dyDescent="0.3">
      <c r="B75" s="33" t="s">
        <v>30</v>
      </c>
      <c r="C75" s="20">
        <v>8</v>
      </c>
      <c r="D75" s="20"/>
      <c r="E75" s="20"/>
      <c r="F75" s="10"/>
      <c r="G75" s="20">
        <v>8</v>
      </c>
      <c r="H75" s="20"/>
      <c r="I75" s="11">
        <v>8</v>
      </c>
      <c r="J75" s="11"/>
      <c r="K75" s="11">
        <v>8</v>
      </c>
      <c r="L75" s="11"/>
      <c r="M75" s="11">
        <v>8</v>
      </c>
      <c r="N75" s="11"/>
      <c r="O75" s="11">
        <v>8</v>
      </c>
      <c r="P75" s="11"/>
      <c r="Q75" s="21">
        <f t="shared" si="18"/>
        <v>48</v>
      </c>
      <c r="R75" s="21">
        <f t="shared" si="18"/>
        <v>0</v>
      </c>
      <c r="S75" s="22">
        <f t="shared" si="19"/>
        <v>48</v>
      </c>
      <c r="T75" s="11">
        <v>60</v>
      </c>
      <c r="U75" s="22">
        <f t="shared" si="20"/>
        <v>2880</v>
      </c>
      <c r="V75" s="10"/>
      <c r="W75" s="10"/>
      <c r="X75" s="4"/>
      <c r="Y75" s="4"/>
    </row>
    <row r="76" spans="2:36" ht="21" x14ac:dyDescent="0.3">
      <c r="B76" s="23"/>
      <c r="C76" s="20"/>
      <c r="D76" s="20"/>
      <c r="E76" s="20"/>
      <c r="F76" s="10"/>
      <c r="G76" s="20"/>
      <c r="H76" s="20"/>
      <c r="I76" s="11"/>
      <c r="J76" s="11"/>
      <c r="K76" s="11"/>
      <c r="L76" s="11"/>
      <c r="M76" s="11"/>
      <c r="N76" s="11"/>
      <c r="O76" s="11"/>
      <c r="P76" s="11"/>
      <c r="Q76" s="21">
        <f>C76+E76+G76+I76+K76+M76+O76</f>
        <v>0</v>
      </c>
      <c r="R76" s="21">
        <f t="shared" si="18"/>
        <v>0</v>
      </c>
      <c r="S76" s="22">
        <f>Q76+R76</f>
        <v>0</v>
      </c>
      <c r="T76" s="11">
        <v>60</v>
      </c>
      <c r="U76" s="22">
        <f t="shared" si="20"/>
        <v>0</v>
      </c>
      <c r="V76" s="11"/>
      <c r="W76" s="11"/>
      <c r="X76" s="4"/>
      <c r="Y76" s="4"/>
    </row>
    <row r="77" spans="2:36" ht="21" x14ac:dyDescent="0.3">
      <c r="B77" s="23"/>
      <c r="C77" s="20"/>
      <c r="D77" s="20"/>
      <c r="E77" s="20"/>
      <c r="F77" s="10"/>
      <c r="G77" s="20"/>
      <c r="H77" s="20"/>
      <c r="I77" s="11"/>
      <c r="J77" s="11"/>
      <c r="K77" s="11"/>
      <c r="L77" s="11"/>
      <c r="M77" s="11"/>
      <c r="N77" s="11"/>
      <c r="O77" s="11"/>
      <c r="P77" s="11"/>
      <c r="Q77" s="21"/>
      <c r="R77" s="21"/>
      <c r="S77" s="22"/>
      <c r="T77" s="11"/>
      <c r="U77" s="22"/>
      <c r="V77" s="11"/>
      <c r="W77" s="11"/>
      <c r="X77" s="4"/>
      <c r="Y77" s="4"/>
    </row>
    <row r="78" spans="2:36" ht="21" x14ac:dyDescent="0.3">
      <c r="B78" s="23"/>
      <c r="C78" s="20"/>
      <c r="D78" s="20"/>
      <c r="E78" s="20"/>
      <c r="F78" s="10"/>
      <c r="G78" s="20"/>
      <c r="H78" s="20"/>
      <c r="I78" s="11"/>
      <c r="J78" s="11"/>
      <c r="K78" s="11"/>
      <c r="L78" s="11"/>
      <c r="M78" s="11"/>
      <c r="N78" s="11"/>
      <c r="O78" s="11"/>
      <c r="P78" s="11"/>
      <c r="Q78" s="21">
        <f>C78+E78+G78+I78+K78+M78+O78</f>
        <v>0</v>
      </c>
      <c r="R78" s="21">
        <f t="shared" si="18"/>
        <v>0</v>
      </c>
      <c r="S78" s="22">
        <f t="shared" ref="S78:S80" si="21">Q78+R78</f>
        <v>0</v>
      </c>
      <c r="T78" s="11">
        <v>60</v>
      </c>
      <c r="U78" s="22">
        <f t="shared" si="20"/>
        <v>0</v>
      </c>
      <c r="V78" s="11"/>
      <c r="W78" s="11"/>
      <c r="X78" s="4"/>
      <c r="Y78" s="4"/>
    </row>
    <row r="79" spans="2:36" ht="21" x14ac:dyDescent="0.3">
      <c r="B79" s="23"/>
      <c r="C79" s="20"/>
      <c r="D79" s="20"/>
      <c r="E79" s="20"/>
      <c r="F79" s="10"/>
      <c r="G79" s="20"/>
      <c r="H79" s="20"/>
      <c r="I79" s="11"/>
      <c r="J79" s="11"/>
      <c r="K79" s="11"/>
      <c r="L79" s="11"/>
      <c r="M79" s="11"/>
      <c r="N79" s="11"/>
      <c r="O79" s="11"/>
      <c r="P79" s="11"/>
      <c r="Q79" s="21">
        <f t="shared" ref="Q79:Q80" si="22">C79+E79+G79+I79+K79+M79+O79</f>
        <v>0</v>
      </c>
      <c r="R79" s="21">
        <f t="shared" si="18"/>
        <v>0</v>
      </c>
      <c r="S79" s="22">
        <f t="shared" si="21"/>
        <v>0</v>
      </c>
      <c r="T79" s="11">
        <v>60</v>
      </c>
      <c r="U79" s="22">
        <f t="shared" si="20"/>
        <v>0</v>
      </c>
      <c r="V79" s="11"/>
      <c r="W79" s="11"/>
      <c r="X79" s="4"/>
      <c r="Y79" s="4"/>
    </row>
    <row r="80" spans="2:36" ht="21" x14ac:dyDescent="0.3">
      <c r="B80" s="23"/>
      <c r="C80" s="20"/>
      <c r="D80" s="20"/>
      <c r="E80" s="20"/>
      <c r="F80" s="10"/>
      <c r="G80" s="20"/>
      <c r="H80" s="20"/>
      <c r="I80" s="11"/>
      <c r="J80" s="11"/>
      <c r="K80" s="11"/>
      <c r="L80" s="11"/>
      <c r="M80" s="11"/>
      <c r="N80" s="11"/>
      <c r="O80" s="11"/>
      <c r="P80" s="11"/>
      <c r="Q80" s="21">
        <f t="shared" si="22"/>
        <v>0</v>
      </c>
      <c r="R80" s="21">
        <f t="shared" si="18"/>
        <v>0</v>
      </c>
      <c r="S80" s="22">
        <f t="shared" si="21"/>
        <v>0</v>
      </c>
      <c r="T80" s="11">
        <v>60</v>
      </c>
      <c r="U80" s="22">
        <f t="shared" si="20"/>
        <v>0</v>
      </c>
      <c r="V80" s="11"/>
      <c r="W80" s="11"/>
      <c r="X80" s="4"/>
      <c r="Y80" s="4"/>
    </row>
    <row r="81" spans="2:25" ht="21" x14ac:dyDescent="0.4">
      <c r="B81" s="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4"/>
      <c r="R81" s="4"/>
      <c r="S81" s="4"/>
      <c r="T81" s="26"/>
      <c r="U81" s="27">
        <f>SUM(U71:U80)</f>
        <v>13440</v>
      </c>
      <c r="V81" s="28"/>
      <c r="W81" s="28">
        <f>SUM(W76:W80)</f>
        <v>0</v>
      </c>
      <c r="X81" s="4"/>
      <c r="Y81" s="4"/>
    </row>
    <row r="83" spans="2:25" x14ac:dyDescent="0.3">
      <c r="B83" s="34" t="s">
        <v>32</v>
      </c>
    </row>
    <row r="84" spans="2:25" x14ac:dyDescent="0.3">
      <c r="B84" s="35" t="s">
        <v>33</v>
      </c>
    </row>
    <row r="85" spans="2:25" ht="21.6" thickBot="1" x14ac:dyDescent="0.45">
      <c r="U85" s="36">
        <f>U17+U31+U47+U64+U81</f>
        <v>79680</v>
      </c>
      <c r="W85" s="37"/>
      <c r="X85" s="38"/>
      <c r="Y85" s="37"/>
    </row>
    <row r="87" spans="2:25" x14ac:dyDescent="0.3">
      <c r="B87" s="34" t="s">
        <v>34</v>
      </c>
    </row>
    <row r="88" spans="2:25" x14ac:dyDescent="0.3">
      <c r="B88" s="35" t="s">
        <v>35</v>
      </c>
    </row>
  </sheetData>
  <mergeCells count="125">
    <mergeCell ref="O81:P81"/>
    <mergeCell ref="C81:D81"/>
    <mergeCell ref="E81:F81"/>
    <mergeCell ref="G81:H81"/>
    <mergeCell ref="I81:J81"/>
    <mergeCell ref="K81:L81"/>
    <mergeCell ref="M81:N81"/>
    <mergeCell ref="V69:V70"/>
    <mergeCell ref="W69:W70"/>
    <mergeCell ref="C70:D70"/>
    <mergeCell ref="E70:F70"/>
    <mergeCell ref="G70:H70"/>
    <mergeCell ref="I70:J70"/>
    <mergeCell ref="K70:L70"/>
    <mergeCell ref="M70:N70"/>
    <mergeCell ref="O70:P70"/>
    <mergeCell ref="O64:P64"/>
    <mergeCell ref="B66:W66"/>
    <mergeCell ref="B67:W67"/>
    <mergeCell ref="B68:W68"/>
    <mergeCell ref="B69:B70"/>
    <mergeCell ref="Q69:Q70"/>
    <mergeCell ref="R69:R70"/>
    <mergeCell ref="S69:S70"/>
    <mergeCell ref="T69:T70"/>
    <mergeCell ref="U69:U70"/>
    <mergeCell ref="C64:D64"/>
    <mergeCell ref="E64:F64"/>
    <mergeCell ref="G64:H64"/>
    <mergeCell ref="I64:J64"/>
    <mergeCell ref="K64:L64"/>
    <mergeCell ref="M64:N64"/>
    <mergeCell ref="V52:V53"/>
    <mergeCell ref="W52:W53"/>
    <mergeCell ref="C53:D53"/>
    <mergeCell ref="E53:F53"/>
    <mergeCell ref="G53:H53"/>
    <mergeCell ref="I53:J53"/>
    <mergeCell ref="K53:L53"/>
    <mergeCell ref="M53:N53"/>
    <mergeCell ref="O53:P53"/>
    <mergeCell ref="O47:P47"/>
    <mergeCell ref="B49:W49"/>
    <mergeCell ref="B50:W50"/>
    <mergeCell ref="B51:W51"/>
    <mergeCell ref="B52:B53"/>
    <mergeCell ref="Q52:Q53"/>
    <mergeCell ref="R52:R53"/>
    <mergeCell ref="S52:S53"/>
    <mergeCell ref="T52:T53"/>
    <mergeCell ref="U52:U53"/>
    <mergeCell ref="C47:D47"/>
    <mergeCell ref="E47:F47"/>
    <mergeCell ref="G47:H47"/>
    <mergeCell ref="I47:J47"/>
    <mergeCell ref="K47:L47"/>
    <mergeCell ref="M47:N47"/>
    <mergeCell ref="V37:V38"/>
    <mergeCell ref="W37:W38"/>
    <mergeCell ref="C38:D38"/>
    <mergeCell ref="E38:F38"/>
    <mergeCell ref="G38:H38"/>
    <mergeCell ref="I38:J38"/>
    <mergeCell ref="K38:L38"/>
    <mergeCell ref="M38:N38"/>
    <mergeCell ref="O38:P38"/>
    <mergeCell ref="O31:P31"/>
    <mergeCell ref="B34:W34"/>
    <mergeCell ref="B35:W35"/>
    <mergeCell ref="B36:W36"/>
    <mergeCell ref="B37:B38"/>
    <mergeCell ref="Q37:Q38"/>
    <mergeCell ref="R37:R38"/>
    <mergeCell ref="S37:S38"/>
    <mergeCell ref="T37:T38"/>
    <mergeCell ref="U37:U38"/>
    <mergeCell ref="C31:D31"/>
    <mergeCell ref="E31:F31"/>
    <mergeCell ref="G31:H31"/>
    <mergeCell ref="I31:J31"/>
    <mergeCell ref="K31:L31"/>
    <mergeCell ref="M31:N31"/>
    <mergeCell ref="V21:V22"/>
    <mergeCell ref="W21:W22"/>
    <mergeCell ref="C22:D22"/>
    <mergeCell ref="E22:F22"/>
    <mergeCell ref="G22:H22"/>
    <mergeCell ref="I22:J22"/>
    <mergeCell ref="K22:L22"/>
    <mergeCell ref="M22:N22"/>
    <mergeCell ref="O22:P22"/>
    <mergeCell ref="O17:P17"/>
    <mergeCell ref="B18:W18"/>
    <mergeCell ref="B19:W19"/>
    <mergeCell ref="B20:W20"/>
    <mergeCell ref="B21:B22"/>
    <mergeCell ref="Q21:Q22"/>
    <mergeCell ref="R21:R22"/>
    <mergeCell ref="S21:S22"/>
    <mergeCell ref="T21:T22"/>
    <mergeCell ref="U21:U22"/>
    <mergeCell ref="C17:D17"/>
    <mergeCell ref="E17:F17"/>
    <mergeCell ref="G17:H17"/>
    <mergeCell ref="I17:J17"/>
    <mergeCell ref="K17:L17"/>
    <mergeCell ref="M17:N17"/>
    <mergeCell ref="W5:W6"/>
    <mergeCell ref="C6:D6"/>
    <mergeCell ref="E6:F6"/>
    <mergeCell ref="G6:H6"/>
    <mergeCell ref="I6:J6"/>
    <mergeCell ref="K6:L6"/>
    <mergeCell ref="M6:N6"/>
    <mergeCell ref="O6:P6"/>
    <mergeCell ref="B2:W2"/>
    <mergeCell ref="B3:W3"/>
    <mergeCell ref="B4:W4"/>
    <mergeCell ref="B5:B6"/>
    <mergeCell ref="Q5:Q6"/>
    <mergeCell ref="R5:R6"/>
    <mergeCell ref="S5:S6"/>
    <mergeCell ref="T5:T6"/>
    <mergeCell ref="U5:U6"/>
    <mergeCell ref="V5:V6"/>
  </mergeCells>
  <pageMargins left="0.70866141732283472" right="3.937007874015748E-2" top="0.74803149606299213" bottom="0.74803149606299213" header="0.31496062992125984" footer="0.31496062992125984"/>
  <pageSetup scale="42" fitToWidth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9D9E-0890-4C5B-919C-1C7A9B279D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DTR new Sept 20-Oct 10</vt:lpstr>
      <vt:lpstr>Sheet1</vt:lpstr>
      <vt:lpstr>'DTR new Sept 20-Oct 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 C. Onis</dc:creator>
  <cp:lastModifiedBy>Aldrin C. Onis</cp:lastModifiedBy>
  <dcterms:created xsi:type="dcterms:W3CDTF">2025-11-07T02:53:48Z</dcterms:created>
  <dcterms:modified xsi:type="dcterms:W3CDTF">2025-11-07T02:54:44Z</dcterms:modified>
</cp:coreProperties>
</file>