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jrpasia_carmensbest_com_ph/Documents/Desktop/Equicom Monitoring/Payroll deduction to remit equicom/"/>
    </mc:Choice>
  </mc:AlternateContent>
  <xr:revisionPtr revIDLastSave="92" documentId="8_{0A8D5A2E-769D-40EF-ABF9-EE163557514F}" xr6:coauthVersionLast="47" xr6:coauthVersionMax="47" xr10:uidLastSave="{2E6CDA9C-8693-42FB-A075-13C63A587714}"/>
  <bookViews>
    <workbookView xWindow="-110" yWindow="-110" windowWidth="19420" windowHeight="10300" xr2:uid="{7A183CC8-3A36-4D6C-86AE-E465B818E0A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Sheet1!$A$5:$B$54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I67" i="1" s="1"/>
  <c r="H56" i="1"/>
  <c r="J62" i="1"/>
  <c r="J61" i="1"/>
  <c r="J60" i="1"/>
  <c r="I42" i="1"/>
  <c r="I43" i="1"/>
  <c r="I36" i="1"/>
  <c r="H27" i="1"/>
  <c r="I27" i="1" s="1"/>
  <c r="I56" i="1" s="1"/>
  <c r="I44" i="1"/>
  <c r="H44" i="1"/>
  <c r="J55" i="1"/>
  <c r="I55" i="1"/>
  <c r="H55" i="1"/>
  <c r="K56" i="1"/>
  <c r="L56" i="1"/>
  <c r="F56" i="1"/>
  <c r="E56" i="1"/>
  <c r="B56" i="1"/>
  <c r="H42" i="1" l="1"/>
  <c r="I60" i="1" l="1"/>
  <c r="J9" i="1"/>
  <c r="H9" i="1"/>
  <c r="H36" i="1" l="1"/>
  <c r="H37" i="1"/>
  <c r="I37" i="1"/>
  <c r="J37" i="1" s="1"/>
  <c r="H38" i="1"/>
  <c r="I38" i="1" s="1"/>
  <c r="H28" i="1"/>
  <c r="H29" i="1"/>
  <c r="H30" i="1"/>
  <c r="H31" i="1"/>
  <c r="H32" i="1"/>
  <c r="H33" i="1"/>
  <c r="H34" i="1"/>
  <c r="H35" i="1"/>
  <c r="H39" i="1"/>
  <c r="H40" i="1"/>
  <c r="H41" i="1"/>
  <c r="H43" i="1"/>
  <c r="J44" i="1"/>
  <c r="H45" i="1"/>
  <c r="H46" i="1"/>
  <c r="H47" i="1"/>
  <c r="H48" i="1"/>
  <c r="H49" i="1"/>
  <c r="H50" i="1"/>
  <c r="H51" i="1"/>
  <c r="H52" i="1"/>
  <c r="I41" i="1" l="1"/>
  <c r="J41" i="1" s="1"/>
  <c r="H14" i="1"/>
  <c r="I14" i="1" s="1"/>
  <c r="H53" i="1" l="1"/>
  <c r="H54" i="1"/>
  <c r="I54" i="1" l="1"/>
  <c r="J54" i="1" s="1"/>
  <c r="I53" i="1"/>
  <c r="J53" i="1" s="1"/>
  <c r="I52" i="1"/>
  <c r="J52" i="1" s="1"/>
  <c r="I49" i="1"/>
  <c r="J49" i="1" s="1"/>
  <c r="I51" i="1"/>
  <c r="J51" i="1" s="1"/>
  <c r="I48" i="1"/>
  <c r="J48" i="1" s="1"/>
  <c r="I47" i="1"/>
  <c r="J47" i="1" s="1"/>
  <c r="I46" i="1"/>
  <c r="J46" i="1" s="1"/>
  <c r="I45" i="1"/>
  <c r="J45" i="1" s="1"/>
  <c r="J43" i="1"/>
  <c r="I50" i="1"/>
  <c r="J50" i="1" s="1"/>
  <c r="J22" i="1" l="1"/>
  <c r="J27" i="1"/>
  <c r="J56" i="1" s="1"/>
  <c r="J29" i="1"/>
  <c r="H11" i="1"/>
  <c r="I11" i="1" s="1"/>
  <c r="H12" i="1"/>
  <c r="I12" i="1" s="1"/>
  <c r="H13" i="1"/>
  <c r="I13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I23" i="1" s="1"/>
  <c r="H24" i="1"/>
  <c r="I24" i="1" s="1"/>
  <c r="H25" i="1"/>
  <c r="I25" i="1" s="1"/>
  <c r="H26" i="1"/>
  <c r="I26" i="1" s="1"/>
  <c r="I28" i="1"/>
  <c r="I30" i="1"/>
  <c r="I31" i="1"/>
  <c r="I32" i="1"/>
  <c r="I33" i="1"/>
  <c r="I35" i="1"/>
  <c r="I39" i="1"/>
  <c r="I40" i="1"/>
  <c r="J40" i="1" s="1"/>
  <c r="H10" i="1"/>
  <c r="I10" i="1" s="1"/>
  <c r="H6" i="1"/>
  <c r="H8" i="1"/>
  <c r="H7" i="1"/>
  <c r="I6" i="1" l="1"/>
  <c r="I70" i="1"/>
  <c r="I34" i="1"/>
  <c r="I29" i="1"/>
  <c r="I8" i="1"/>
  <c r="J8" i="1"/>
  <c r="J7" i="1"/>
  <c r="I22" i="1"/>
  <c r="I7" i="1"/>
  <c r="I74" i="1" l="1"/>
  <c r="I77" i="1" s="1"/>
  <c r="J19" i="1"/>
  <c r="J12" i="1"/>
  <c r="J13" i="1"/>
  <c r="J15" i="1"/>
  <c r="J16" i="1"/>
  <c r="J17" i="1"/>
  <c r="J18" i="1"/>
  <c r="J20" i="1"/>
  <c r="J21" i="1"/>
  <c r="J23" i="1"/>
  <c r="J24" i="1"/>
  <c r="J25" i="1"/>
  <c r="J26" i="1"/>
  <c r="J28" i="1"/>
  <c r="J30" i="1"/>
  <c r="J31" i="1"/>
  <c r="J33" i="1"/>
  <c r="J35" i="1"/>
  <c r="J39" i="1"/>
  <c r="J11" i="1" l="1"/>
  <c r="J6" i="1"/>
  <c r="J10" i="1"/>
</calcChain>
</file>

<file path=xl/sharedStrings.xml><?xml version="1.0" encoding="utf-8"?>
<sst xmlns="http://schemas.openxmlformats.org/spreadsheetml/2006/main" count="129" uniqueCount="74">
  <si>
    <t>Name</t>
  </si>
  <si>
    <t>Equicom Loan</t>
  </si>
  <si>
    <t>TOTAL PAYROLL  Deduction</t>
  </si>
  <si>
    <t>For remittance</t>
  </si>
  <si>
    <t>Agner, Julius P.</t>
  </si>
  <si>
    <t>Balderama, Norbel A.</t>
  </si>
  <si>
    <t>Barcelona, Irene V.</t>
  </si>
  <si>
    <t>Borja, Mark Angelo M.</t>
  </si>
  <si>
    <t>Cahilig, Mechael M.</t>
  </si>
  <si>
    <t>Casipi, Jefferson P.</t>
  </si>
  <si>
    <t>De Leon, Dexter S.</t>
  </si>
  <si>
    <t>Flores, Marlon D.</t>
  </si>
  <si>
    <t>Garcia, Christian Paulo P.</t>
  </si>
  <si>
    <t>Guevarra, Elyssa Vanice  H.</t>
  </si>
  <si>
    <t>Joson, Prince Jamiel B.</t>
  </si>
  <si>
    <t>Lagasca, Cresencio P.</t>
  </si>
  <si>
    <t>Martinez, Cindy N.</t>
  </si>
  <si>
    <t>Niem, Ceferino B.</t>
  </si>
  <si>
    <t>Ramoran, Ryan August O.</t>
  </si>
  <si>
    <t>Tirol, Johanna T.</t>
  </si>
  <si>
    <t>Tumbado, Ar-jay M.</t>
  </si>
  <si>
    <t>Vizcarra, Dino Roel N.</t>
  </si>
  <si>
    <t>Dacutan, Diocel M.</t>
  </si>
  <si>
    <t>Equicom Loan Refund</t>
  </si>
  <si>
    <t>Total</t>
  </si>
  <si>
    <t>Remarks status</t>
  </si>
  <si>
    <t>Mojica, Julienne E.</t>
  </si>
  <si>
    <t>Biole, John Carlo B.</t>
  </si>
  <si>
    <t>Corpuz, Michael Angelo G.</t>
  </si>
  <si>
    <t>Pasia, John Carlos R.</t>
  </si>
  <si>
    <t>Ramirez, Jhon Marck L.</t>
  </si>
  <si>
    <t>Robillos, Carlos J.</t>
  </si>
  <si>
    <t>Samiano, Gillian Cristel M.</t>
  </si>
  <si>
    <t>Tuico, Jhayrold T.</t>
  </si>
  <si>
    <t>Bosque, Marjorie S.</t>
  </si>
  <si>
    <t>De Guzman, Sandra Ellen  R.</t>
  </si>
  <si>
    <t>Mana-ay, Jeffrey R.</t>
  </si>
  <si>
    <t>Villarma, Kayzel Love Jem O.</t>
  </si>
  <si>
    <t>Already return to employee</t>
  </si>
  <si>
    <t>Arbas, Ma. Mae B.</t>
  </si>
  <si>
    <t>Carpena, Lenard A.</t>
  </si>
  <si>
    <t>Dela Cruz, Rogelio Jr. S.</t>
  </si>
  <si>
    <t>Guarin, Rustico L.</t>
  </si>
  <si>
    <t>Onis, Aldrin  C.</t>
  </si>
  <si>
    <t>Names</t>
  </si>
  <si>
    <t>Remarks</t>
  </si>
  <si>
    <t>Breakdown</t>
  </si>
  <si>
    <t>Bernardo, Mark Oliver D.</t>
  </si>
  <si>
    <t>Employee Company Advances</t>
  </si>
  <si>
    <t>Equicom BILLING</t>
  </si>
  <si>
    <t>Payroll Deduction</t>
  </si>
  <si>
    <t>TOTAL AMOUNT TO REMIT</t>
  </si>
  <si>
    <t xml:space="preserve">Equicom billing less  </t>
  </si>
  <si>
    <t>Remove in the Billing</t>
  </si>
  <si>
    <t>Payroll Deduction + Advances</t>
  </si>
  <si>
    <t>Martin, Jessa O.</t>
  </si>
  <si>
    <t>Agonia, Rens M.</t>
  </si>
  <si>
    <t>Barcelona, Kelvin A.</t>
  </si>
  <si>
    <t>Ebias, Stephen A.</t>
  </si>
  <si>
    <t>Malicosio, Noel P.</t>
  </si>
  <si>
    <t>New Loan</t>
  </si>
  <si>
    <t>Loleng, Joel C.</t>
  </si>
  <si>
    <t>Villaluz, Mark Topher A.</t>
  </si>
  <si>
    <t>Aspili, Gilbert L.</t>
  </si>
  <si>
    <t>Perez, Jean Rose D.</t>
  </si>
  <si>
    <t>October 15, 2025 Payroll Reports</t>
  </si>
  <si>
    <t>October 31, 2025 Payroll Reports</t>
  </si>
  <si>
    <t>Compidio, Jumar S.</t>
  </si>
  <si>
    <t>Manganti, Myndonn O.</t>
  </si>
  <si>
    <t>Pongyan, Eden Marie N.</t>
  </si>
  <si>
    <t>Roxas, Joseph Allan O.</t>
  </si>
  <si>
    <t>Christian Atienza</t>
  </si>
  <si>
    <t>Marc Calonsag</t>
  </si>
  <si>
    <t>Anthonette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</si>
</sst>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0.00_)"/>
    <numFmt numFmtId="167" formatCode="_(* #,##0.00_);_(* \(#,##0.00\);_(* \-??_);_(@_)"/>
    <numFmt numFmtId="168" formatCode="_ * #,##0.00_ ;_ * \-#,##0.00_ ;_ * &quot;-&quot;??_ ;_ @_ 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sz val="11"/>
      <color indexed="8"/>
      <name val="Aptos Narrow"/>
      <family val="2"/>
      <scheme val="minor"/>
    </font>
    <font>
      <b/>
      <i/>
      <sz val="16"/>
      <name val="Helv"/>
      <charset val="134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8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1"/>
      <color indexed="62"/>
      <name val="Calibri"/>
      <family val="2"/>
    </font>
    <font>
      <sz val="10"/>
      <color indexed="9"/>
      <name val="Arial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b/>
      <sz val="13"/>
      <color theme="1"/>
      <name val="Aptos Narrow"/>
      <family val="2"/>
      <scheme val="minor"/>
    </font>
    <font>
      <b/>
      <i/>
      <sz val="13"/>
      <name val="Aptos Narrow"/>
      <family val="2"/>
      <scheme val="minor"/>
    </font>
    <font>
      <b/>
      <sz val="13"/>
      <color rgb="FF92D05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85">
    <xf numFmtId="0" fontId="0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9" fillId="0" borderId="0" applyFill="0" applyProtection="0">
      <alignment horizontal="left"/>
    </xf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7" borderId="0" applyNumberFormat="0" applyBorder="0" applyAlignment="0" applyProtection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6" fillId="5" borderId="0" applyNumberFormat="0" applyBorder="0" applyAlignment="0" applyProtection="0"/>
    <xf numFmtId="0" fontId="1" fillId="0" borderId="0"/>
    <xf numFmtId="0" fontId="6" fillId="10" borderId="0" applyNumberFormat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1" fillId="0" borderId="2">
      <alignment horizontal="right" vertical="center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13" borderId="0" applyNumberFormat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9" fontId="8" fillId="0" borderId="0" applyFont="0" applyFill="0" applyBorder="0" applyAlignment="0" applyProtection="0"/>
    <xf numFmtId="0" fontId="8" fillId="6" borderId="2">
      <alignment horizontal="left" vertical="center"/>
    </xf>
    <xf numFmtId="0" fontId="10" fillId="0" borderId="0"/>
    <xf numFmtId="0" fontId="8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4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8" fillId="6" borderId="2">
      <alignment horizontal="left" vertical="center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166" fontId="16" fillId="0" borderId="0"/>
    <xf numFmtId="0" fontId="3" fillId="0" borderId="0" applyFill="0" applyProtection="0">
      <alignment horizontal="left"/>
    </xf>
    <xf numFmtId="0" fontId="6" fillId="10" borderId="0" applyNumberFormat="0" applyBorder="0" applyAlignment="0" applyProtection="0"/>
    <xf numFmtId="0" fontId="3" fillId="0" borderId="0" applyFill="0" applyProtection="0">
      <alignment horizontal="left"/>
    </xf>
    <xf numFmtId="0" fontId="12" fillId="15" borderId="0" applyNumberFormat="0" applyBorder="0" applyAlignment="0" applyProtection="0"/>
    <xf numFmtId="0" fontId="3" fillId="0" borderId="0" applyFill="0" applyProtection="0">
      <alignment horizontal="left"/>
    </xf>
    <xf numFmtId="0" fontId="6" fillId="10" borderId="0" applyNumberFormat="0" applyBorder="0" applyAlignment="0" applyProtection="0"/>
    <xf numFmtId="0" fontId="17" fillId="0" borderId="3" applyNumberFormat="0" applyFill="0" applyAlignment="0" applyProtection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5" borderId="0" applyNumberFormat="0" applyBorder="0" applyAlignment="0" applyProtection="0"/>
    <xf numFmtId="0" fontId="3" fillId="0" borderId="0" applyFill="0" applyProtection="0">
      <alignment horizontal="left"/>
    </xf>
    <xf numFmtId="0" fontId="6" fillId="12" borderId="0" applyNumberFormat="0" applyBorder="0" applyAlignment="0" applyProtection="0"/>
    <xf numFmtId="9" fontId="10" fillId="0" borderId="0" applyFont="0" applyFill="0" applyBorder="0" applyAlignment="0" applyProtection="0"/>
    <xf numFmtId="0" fontId="6" fillId="12" borderId="0" applyNumberFormat="0" applyBorder="0" applyAlignment="0" applyProtection="0"/>
    <xf numFmtId="0" fontId="10" fillId="0" borderId="0"/>
    <xf numFmtId="0" fontId="6" fillId="12" borderId="0" applyNumberFormat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6" fillId="7" borderId="0" applyNumberFormat="0" applyBorder="0" applyAlignment="0" applyProtection="0"/>
    <xf numFmtId="0" fontId="8" fillId="6" borderId="2">
      <alignment horizontal="center" vertical="center"/>
    </xf>
    <xf numFmtId="0" fontId="3" fillId="0" borderId="0" applyFill="0" applyProtection="0">
      <alignment horizontal="left"/>
    </xf>
    <xf numFmtId="0" fontId="10" fillId="0" borderId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3" fillId="0" borderId="0" applyFill="0" applyProtection="0">
      <alignment horizontal="left"/>
    </xf>
    <xf numFmtId="0" fontId="6" fillId="4" borderId="0" applyNumberFormat="0" applyBorder="0" applyAlignment="0" applyProtection="0"/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0" fillId="0" borderId="0"/>
    <xf numFmtId="0" fontId="6" fillId="0" borderId="0"/>
    <xf numFmtId="0" fontId="6" fillId="9" borderId="0" applyNumberFormat="0" applyBorder="0" applyAlignment="0" applyProtection="0"/>
    <xf numFmtId="43" fontId="8" fillId="0" borderId="0" applyFont="0" applyFill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43" fontId="3" fillId="0" borderId="0" applyFont="0" applyFill="0" applyBorder="0" applyAlignment="0" applyProtection="0"/>
    <xf numFmtId="0" fontId="7" fillId="3" borderId="2">
      <alignment horizontal="left" vertical="center"/>
    </xf>
    <xf numFmtId="0" fontId="6" fillId="6" borderId="0" applyNumberFormat="0" applyBorder="0" applyAlignment="0" applyProtection="0"/>
    <xf numFmtId="0" fontId="3" fillId="0" borderId="0" applyFill="0" applyProtection="0">
      <alignment horizontal="left"/>
    </xf>
    <xf numFmtId="0" fontId="6" fillId="6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10" fillId="0" borderId="0"/>
    <xf numFmtId="0" fontId="6" fillId="14" borderId="0" applyNumberFormat="0" applyBorder="0" applyAlignment="0" applyProtection="0"/>
    <xf numFmtId="0" fontId="3" fillId="0" borderId="0" applyFill="0" applyProtection="0">
      <alignment horizontal="left"/>
    </xf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9" fontId="8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6" borderId="0" applyNumberFormat="0" applyBorder="0" applyAlignment="0" applyProtection="0"/>
    <xf numFmtId="0" fontId="3" fillId="0" borderId="0" applyFill="0" applyProtection="0">
      <alignment horizontal="left"/>
    </xf>
    <xf numFmtId="0" fontId="6" fillId="6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8" fillId="0" borderId="2">
      <alignment horizontal="left" vertical="center"/>
    </xf>
    <xf numFmtId="0" fontId="3" fillId="0" borderId="0" applyFill="0" applyProtection="0">
      <alignment horizontal="left"/>
    </xf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3" fillId="0" borderId="0" applyFill="0" applyProtection="0">
      <alignment horizontal="left"/>
    </xf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3" fillId="0" borderId="0" applyFill="0" applyProtection="0">
      <alignment horizontal="left"/>
    </xf>
    <xf numFmtId="0" fontId="10" fillId="0" borderId="0"/>
    <xf numFmtId="9" fontId="6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43" fontId="8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0" fillId="0" borderId="0"/>
    <xf numFmtId="0" fontId="12" fillId="11" borderId="0" applyNumberFormat="0" applyBorder="0" applyAlignment="0" applyProtection="0"/>
    <xf numFmtId="0" fontId="3" fillId="0" borderId="0" applyFill="0" applyProtection="0">
      <alignment horizontal="left"/>
    </xf>
    <xf numFmtId="0" fontId="12" fillId="22" borderId="0" applyNumberFormat="0" applyBorder="0" applyAlignment="0" applyProtection="0"/>
    <xf numFmtId="0" fontId="19" fillId="4" borderId="0" applyNumberFormat="0" applyBorder="0" applyAlignment="0" applyProtection="0"/>
    <xf numFmtId="0" fontId="20" fillId="3" borderId="4" applyNumberFormat="0" applyAlignment="0" applyProtection="0"/>
    <xf numFmtId="0" fontId="21" fillId="23" borderId="5" applyNumberFormat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8" fillId="6" borderId="2">
      <alignment horizontal="center" vertical="center"/>
    </xf>
    <xf numFmtId="0" fontId="3" fillId="0" borderId="0" applyFill="0" applyProtection="0">
      <alignment horizontal="left"/>
    </xf>
    <xf numFmtId="0" fontId="1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0" fillId="0" borderId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43" fontId="8" fillId="0" borderId="0" applyFont="0" applyFill="0" applyBorder="0" applyAlignment="0" applyProtection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3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6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1" fillId="0" borderId="2">
      <alignment horizontal="right" vertical="center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3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6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25" fillId="0" borderId="6" applyNumberFormat="0" applyFill="0" applyAlignment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8" fillId="0" borderId="0" applyFont="0" applyFill="0" applyBorder="0" applyAlignment="0" applyProtection="0"/>
    <xf numFmtId="0" fontId="10" fillId="0" borderId="0"/>
    <xf numFmtId="0" fontId="10" fillId="0" borderId="0"/>
    <xf numFmtId="43" fontId="8" fillId="0" borderId="0" applyFont="0" applyFill="0" applyBorder="0" applyAlignment="0" applyProtection="0"/>
    <xf numFmtId="0" fontId="26" fillId="0" borderId="7" applyNumberFormat="0" applyFill="0" applyAlignment="0" applyProtection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3" fillId="0" borderId="0" applyFill="0" applyProtection="0">
      <alignment horizontal="left"/>
    </xf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 applyFill="0" applyProtection="0">
      <alignment horizontal="left"/>
    </xf>
    <xf numFmtId="43" fontId="10" fillId="0" borderId="0" applyFont="0" applyFill="0" applyBorder="0" applyAlignment="0" applyProtection="0"/>
    <xf numFmtId="0" fontId="3" fillId="0" borderId="0" applyFill="0" applyProtection="0">
      <alignment horizontal="left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0" fontId="28" fillId="10" borderId="0" applyNumberFormat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/>
    <xf numFmtId="38" fontId="11" fillId="3" borderId="0" applyBorder="0" applyAlignment="0" applyProtection="0"/>
    <xf numFmtId="0" fontId="29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3" fillId="0" borderId="0" applyFill="0" applyProtection="0">
      <alignment horizontal="left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3" fillId="0" borderId="0" applyFill="0" applyProtection="0">
      <alignment horizontal="left"/>
    </xf>
    <xf numFmtId="0" fontId="18" fillId="16" borderId="0" applyNumberFormat="0" applyBorder="0" applyAlignment="0" applyProtection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11" fillId="0" borderId="2">
      <alignment horizontal="center" vertical="center"/>
    </xf>
    <xf numFmtId="0" fontId="10" fillId="0" borderId="0"/>
    <xf numFmtId="0" fontId="3" fillId="0" borderId="0" applyFill="0" applyProtection="0">
      <alignment horizontal="left"/>
    </xf>
    <xf numFmtId="0" fontId="24" fillId="0" borderId="0" applyNumberFormat="0" applyFill="0" applyBorder="0" applyAlignment="0" applyProtection="0">
      <alignment vertical="top"/>
      <protection locked="0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6" borderId="2">
      <alignment horizontal="center" vertical="center"/>
    </xf>
    <xf numFmtId="0" fontId="8" fillId="6" borderId="2">
      <alignment horizontal="center" vertical="center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8" fillId="6" borderId="2">
      <alignment horizontal="center" vertical="center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8" fillId="0" borderId="2">
      <alignment horizontal="left" vertical="top"/>
    </xf>
    <xf numFmtId="0" fontId="3" fillId="0" borderId="0" applyFill="0" applyProtection="0">
      <alignment horizontal="left"/>
    </xf>
    <xf numFmtId="0" fontId="8" fillId="0" borderId="2">
      <alignment horizontal="left" vertical="top"/>
    </xf>
    <xf numFmtId="0" fontId="8" fillId="0" borderId="2">
      <alignment horizontal="left" vertical="top"/>
    </xf>
    <xf numFmtId="0" fontId="8" fillId="0" borderId="2">
      <alignment horizontal="left" vertical="top"/>
    </xf>
    <xf numFmtId="0" fontId="8" fillId="0" borderId="2">
      <alignment horizontal="left" vertical="top"/>
    </xf>
    <xf numFmtId="0" fontId="8" fillId="0" borderId="2">
      <alignment horizontal="left" vertical="center"/>
    </xf>
    <xf numFmtId="0" fontId="10" fillId="0" borderId="0"/>
    <xf numFmtId="0" fontId="8" fillId="0" borderId="2">
      <alignment horizontal="left" vertical="center"/>
    </xf>
    <xf numFmtId="0" fontId="3" fillId="0" borderId="0" applyFill="0" applyProtection="0">
      <alignment horizontal="left"/>
    </xf>
    <xf numFmtId="0" fontId="8" fillId="0" borderId="2">
      <alignment horizontal="left" vertical="center"/>
    </xf>
    <xf numFmtId="0" fontId="3" fillId="0" borderId="0" applyFill="0" applyProtection="0">
      <alignment horizontal="left"/>
    </xf>
    <xf numFmtId="0" fontId="8" fillId="0" borderId="2">
      <alignment horizontal="left" vertical="center"/>
    </xf>
    <xf numFmtId="0" fontId="3" fillId="0" borderId="0" applyFill="0" applyProtection="0">
      <alignment horizontal="left"/>
    </xf>
    <xf numFmtId="0" fontId="8" fillId="6" borderId="2">
      <alignment horizontal="left" vertical="center"/>
    </xf>
    <xf numFmtId="0" fontId="8" fillId="6" borderId="2">
      <alignment horizontal="left" vertical="center"/>
    </xf>
    <xf numFmtId="0" fontId="10" fillId="0" borderId="0"/>
    <xf numFmtId="0" fontId="8" fillId="6" borderId="2">
      <alignment horizontal="left" vertical="center"/>
    </xf>
    <xf numFmtId="0" fontId="10" fillId="0" borderId="0"/>
    <xf numFmtId="0" fontId="10" fillId="0" borderId="0"/>
    <xf numFmtId="0" fontId="27" fillId="3" borderId="2">
      <alignment horizontal="right" vertical="center"/>
    </xf>
    <xf numFmtId="0" fontId="7" fillId="3" borderId="2">
      <alignment horizontal="center" vertical="center"/>
    </xf>
    <xf numFmtId="0" fontId="10" fillId="0" borderId="0"/>
    <xf numFmtId="0" fontId="27" fillId="3" borderId="2">
      <alignment horizontal="right" vertical="center"/>
    </xf>
    <xf numFmtId="10" fontId="11" fillId="24" borderId="1" applyBorder="0" applyAlignment="0" applyProtection="0"/>
    <xf numFmtId="0" fontId="30" fillId="9" borderId="4" applyNumberFormat="0" applyAlignment="0" applyProtection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9" fontId="8" fillId="0" borderId="0" applyFont="0" applyFill="0" applyBorder="0" applyAlignment="0" applyProtection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1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1" fillId="0" borderId="0" applyNumberFormat="0" applyFill="0" applyProtection="0">
      <alignment horizontal="left"/>
    </xf>
    <xf numFmtId="0" fontId="6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" fillId="0" borderId="0"/>
    <xf numFmtId="0" fontId="3" fillId="0" borderId="0" applyFill="0" applyProtection="0">
      <alignment horizontal="left"/>
    </xf>
    <xf numFmtId="0" fontId="8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1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6" fillId="0" borderId="0"/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3" fillId="0" borderId="0" applyFill="0" applyProtection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 applyFill="0" applyProtection="0">
      <alignment horizontal="left"/>
    </xf>
    <xf numFmtId="0" fontId="31" fillId="0" borderId="0" applyNumberFormat="0" applyFill="0" applyProtection="0">
      <alignment horizontal="left"/>
    </xf>
    <xf numFmtId="0" fontId="8" fillId="0" borderId="0"/>
    <xf numFmtId="0" fontId="6" fillId="0" borderId="0"/>
    <xf numFmtId="0" fontId="10" fillId="0" borderId="0"/>
    <xf numFmtId="0" fontId="10" fillId="0" borderId="0"/>
    <xf numFmtId="0" fontId="8" fillId="0" borderId="0"/>
    <xf numFmtId="0" fontId="3" fillId="0" borderId="0" applyFill="0" applyProtection="0">
      <alignment horizontal="left"/>
    </xf>
    <xf numFmtId="0" fontId="10" fillId="0" borderId="0"/>
    <xf numFmtId="0" fontId="3" fillId="0" borderId="0" applyFill="0" applyProtection="0">
      <alignment horizontal="left"/>
    </xf>
    <xf numFmtId="0" fontId="8" fillId="0" borderId="0"/>
    <xf numFmtId="0" fontId="8" fillId="24" borderId="10" applyNumberFormat="0" applyFont="0" applyAlignment="0" applyProtection="0"/>
    <xf numFmtId="0" fontId="8" fillId="24" borderId="10" applyNumberFormat="0" applyFont="0" applyAlignment="0" applyProtection="0"/>
    <xf numFmtId="0" fontId="33" fillId="3" borderId="11" applyNumberFormat="0" applyAlignment="0" applyProtection="0"/>
    <xf numFmtId="10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2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" fillId="0" borderId="0" applyFill="0" applyProtection="0">
      <alignment horizontal="left"/>
    </xf>
    <xf numFmtId="0" fontId="3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3" fillId="0" borderId="0" applyFill="0" applyBorder="0" applyProtection="0">
      <alignment horizontal="left"/>
    </xf>
    <xf numFmtId="0" fontId="9" fillId="0" borderId="0" applyFill="0" applyProtection="0">
      <alignment horizontal="left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0" fontId="11" fillId="24" borderId="12" applyBorder="0" applyAlignment="0" applyProtection="0"/>
    <xf numFmtId="43" fontId="3" fillId="0" borderId="0" applyFont="0" applyFill="0" applyBorder="0" applyAlignment="0" applyProtection="0"/>
    <xf numFmtId="0" fontId="9" fillId="0" borderId="0" applyFill="0" applyProtection="0">
      <alignment horizontal="left"/>
    </xf>
    <xf numFmtId="0" fontId="9" fillId="0" borderId="0" applyFill="0" applyProtection="0">
      <alignment horizontal="left"/>
    </xf>
    <xf numFmtId="0" fontId="49" fillId="0" borderId="0">
      <alignment vertical="center"/>
    </xf>
    <xf numFmtId="168" fontId="49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43" fontId="4" fillId="2" borderId="0" xfId="1" applyFont="1" applyFill="1" applyAlignment="1" applyProtection="1">
      <alignment horizontal="left" vertical="center"/>
    </xf>
    <xf numFmtId="0" fontId="3" fillId="0" borderId="0" xfId="0" applyFont="1" applyAlignment="1">
      <alignment horizontal="left"/>
    </xf>
    <xf numFmtId="43" fontId="5" fillId="2" borderId="1" xfId="1" applyFont="1" applyFill="1" applyBorder="1" applyAlignment="1" applyProtection="1">
      <alignment horizontal="center" vertical="center" wrapText="1"/>
    </xf>
    <xf numFmtId="164" fontId="4" fillId="2" borderId="0" xfId="3" applyFont="1" applyFill="1" applyAlignment="1" applyProtection="1">
      <alignment horizontal="left" vertical="center"/>
    </xf>
    <xf numFmtId="0" fontId="5" fillId="2" borderId="0" xfId="0" applyFont="1" applyFill="1" applyAlignment="1">
      <alignment horizontal="left"/>
    </xf>
    <xf numFmtId="164" fontId="5" fillId="2" borderId="1" xfId="3" applyFont="1" applyFill="1" applyBorder="1" applyAlignment="1" applyProtection="1">
      <alignment horizontal="center" vertical="center" wrapText="1"/>
    </xf>
    <xf numFmtId="43" fontId="5" fillId="2" borderId="0" xfId="1" applyFont="1" applyFill="1" applyAlignment="1" applyProtection="1">
      <alignment horizontal="right" vertical="center"/>
    </xf>
    <xf numFmtId="43" fontId="0" fillId="0" borderId="12" xfId="0" applyNumberFormat="1" applyBorder="1"/>
    <xf numFmtId="164" fontId="5" fillId="2" borderId="12" xfId="3" applyFont="1" applyFill="1" applyBorder="1" applyAlignment="1" applyProtection="1">
      <alignment horizontal="center" vertical="center" wrapText="1"/>
    </xf>
    <xf numFmtId="43" fontId="5" fillId="2" borderId="0" xfId="680" applyFont="1" applyFill="1" applyBorder="1" applyAlignment="1" applyProtection="1">
      <alignment horizontal="center" vertical="center" wrapText="1"/>
    </xf>
    <xf numFmtId="0" fontId="0" fillId="0" borderId="12" xfId="0" applyBorder="1"/>
    <xf numFmtId="43" fontId="8" fillId="0" borderId="12" xfId="677" applyFont="1" applyFill="1" applyBorder="1" applyAlignment="1" applyProtection="1">
      <alignment horizontal="left"/>
    </xf>
    <xf numFmtId="43" fontId="4" fillId="0" borderId="0" xfId="680" applyFont="1" applyFill="1" applyBorder="1" applyAlignment="1" applyProtection="1">
      <alignment horizontal="right" vertical="center"/>
    </xf>
    <xf numFmtId="43" fontId="7" fillId="2" borderId="12" xfId="677" applyFont="1" applyFill="1" applyBorder="1" applyAlignment="1" applyProtection="1">
      <alignment horizontal="center" vertical="center" wrapText="1"/>
    </xf>
    <xf numFmtId="43" fontId="5" fillId="2" borderId="12" xfId="678" applyFont="1" applyFill="1" applyBorder="1" applyAlignment="1" applyProtection="1">
      <alignment horizontal="center" vertical="center" wrapText="1"/>
    </xf>
    <xf numFmtId="0" fontId="0" fillId="0" borderId="1" xfId="0" applyBorder="1"/>
    <xf numFmtId="43" fontId="8" fillId="0" borderId="1" xfId="677" applyFont="1" applyFill="1" applyBorder="1" applyAlignment="1" applyProtection="1">
      <alignment horizontal="left"/>
    </xf>
    <xf numFmtId="43" fontId="0" fillId="0" borderId="0" xfId="0" applyNumberFormat="1"/>
    <xf numFmtId="43" fontId="0" fillId="0" borderId="1" xfId="0" applyNumberFormat="1" applyBorder="1"/>
    <xf numFmtId="43" fontId="8" fillId="0" borderId="1" xfId="677" applyFont="1" applyFill="1" applyBorder="1" applyAlignment="1" applyProtection="1">
      <alignment horizontal="right"/>
    </xf>
    <xf numFmtId="0" fontId="2" fillId="0" borderId="0" xfId="0" applyFont="1" applyAlignment="1">
      <alignment horizontal="right"/>
    </xf>
    <xf numFmtId="164" fontId="7" fillId="2" borderId="0" xfId="3" applyFont="1" applyFill="1" applyAlignment="1" applyProtection="1">
      <alignment horizontal="right" vertical="center"/>
    </xf>
    <xf numFmtId="0" fontId="0" fillId="0" borderId="1" xfId="0" applyBorder="1" applyAlignment="1">
      <alignment horizontal="center"/>
    </xf>
    <xf numFmtId="43" fontId="39" fillId="0" borderId="0" xfId="1" applyFont="1" applyFill="1" applyBorder="1" applyAlignment="1" applyProtection="1">
      <alignment horizontal="right" vertical="center"/>
    </xf>
    <xf numFmtId="164" fontId="0" fillId="0" borderId="0" xfId="0" applyNumberFormat="1"/>
    <xf numFmtId="164" fontId="4" fillId="2" borderId="13" xfId="3" applyFont="1" applyFill="1" applyBorder="1" applyAlignment="1" applyProtection="1">
      <alignment horizontal="left" vertical="center"/>
    </xf>
    <xf numFmtId="164" fontId="4" fillId="2" borderId="13" xfId="3" applyFont="1" applyFill="1" applyBorder="1" applyAlignment="1" applyProtection="1">
      <alignment horizontal="right" vertical="center"/>
    </xf>
    <xf numFmtId="43" fontId="39" fillId="0" borderId="16" xfId="1" applyFont="1" applyFill="1" applyBorder="1" applyAlignment="1" applyProtection="1">
      <alignment horizontal="right" vertical="center"/>
    </xf>
    <xf numFmtId="0" fontId="2" fillId="0" borderId="0" xfId="0" applyFont="1"/>
    <xf numFmtId="0" fontId="36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12" xfId="0" applyNumberFormat="1" applyBorder="1" applyAlignment="1">
      <alignment horizontal="left"/>
    </xf>
    <xf numFmtId="43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43" fontId="38" fillId="0" borderId="0" xfId="1" applyFont="1" applyAlignment="1" applyProtection="1">
      <alignment horizontal="left" vertical="center"/>
    </xf>
    <xf numFmtId="0" fontId="0" fillId="0" borderId="14" xfId="0" applyBorder="1"/>
    <xf numFmtId="0" fontId="36" fillId="0" borderId="0" xfId="0" applyFont="1" applyAlignment="1">
      <alignment horizontal="right"/>
    </xf>
    <xf numFmtId="0" fontId="36" fillId="0" borderId="0" xfId="0" applyFont="1" applyAlignment="1">
      <alignment vertical="center"/>
    </xf>
    <xf numFmtId="0" fontId="37" fillId="0" borderId="0" xfId="0" applyFont="1"/>
    <xf numFmtId="0" fontId="0" fillId="0" borderId="0" xfId="0" applyAlignment="1">
      <alignment horizontal="right"/>
    </xf>
    <xf numFmtId="43" fontId="36" fillId="0" borderId="0" xfId="0" applyNumberFormat="1" applyFont="1"/>
    <xf numFmtId="0" fontId="0" fillId="0" borderId="25" xfId="0" applyBorder="1" applyAlignment="1">
      <alignment horizontal="center" wrapText="1"/>
    </xf>
    <xf numFmtId="0" fontId="42" fillId="0" borderId="12" xfId="0" applyFont="1" applyBorder="1"/>
    <xf numFmtId="0" fontId="0" fillId="0" borderId="25" xfId="0" applyBorder="1" applyAlignment="1">
      <alignment wrapText="1"/>
    </xf>
    <xf numFmtId="0" fontId="0" fillId="0" borderId="25" xfId="0" applyBorder="1"/>
    <xf numFmtId="0" fontId="0" fillId="0" borderId="28" xfId="0" applyBorder="1"/>
    <xf numFmtId="168" fontId="41" fillId="0" borderId="12" xfId="1" applyNumberFormat="1" applyFont="1" applyFill="1" applyBorder="1" applyAlignment="1" applyProtection="1">
      <alignment vertical="center"/>
    </xf>
    <xf numFmtId="168" fontId="40" fillId="0" borderId="12" xfId="1" applyNumberFormat="1" applyFont="1" applyFill="1" applyBorder="1" applyAlignment="1" applyProtection="1">
      <alignment horizontal="right" vertical="center"/>
    </xf>
    <xf numFmtId="0" fontId="0" fillId="0" borderId="12" xfId="0" applyBorder="1" applyAlignment="1">
      <alignment horizontal="left" vertical="center"/>
    </xf>
    <xf numFmtId="0" fontId="0" fillId="0" borderId="27" xfId="0" applyBorder="1" applyAlignment="1">
      <alignment horizontal="right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0" xfId="0" applyBorder="1"/>
    <xf numFmtId="43" fontId="36" fillId="0" borderId="17" xfId="0" applyNumberFormat="1" applyFont="1" applyBorder="1"/>
    <xf numFmtId="0" fontId="0" fillId="0" borderId="24" xfId="0" applyBorder="1" applyAlignment="1">
      <alignment horizontal="right"/>
    </xf>
    <xf numFmtId="168" fontId="35" fillId="0" borderId="18" xfId="1" applyNumberFormat="1" applyFont="1" applyFill="1" applyBorder="1" applyAlignment="1" applyProtection="1">
      <alignment horizontal="right" vertical="center"/>
    </xf>
    <xf numFmtId="0" fontId="42" fillId="0" borderId="18" xfId="0" applyFont="1" applyBorder="1"/>
    <xf numFmtId="0" fontId="0" fillId="0" borderId="18" xfId="0" applyBorder="1" applyAlignment="1">
      <alignment horizontal="left"/>
    </xf>
    <xf numFmtId="0" fontId="0" fillId="0" borderId="31" xfId="0" applyBorder="1"/>
    <xf numFmtId="168" fontId="44" fillId="0" borderId="21" xfId="1" applyNumberFormat="1" applyFont="1" applyFill="1" applyBorder="1" applyAlignment="1" applyProtection="1">
      <alignment horizontal="right" vertical="center"/>
    </xf>
    <xf numFmtId="168" fontId="45" fillId="0" borderId="13" xfId="1" applyNumberFormat="1" applyFont="1" applyFill="1" applyBorder="1" applyAlignment="1" applyProtection="1">
      <alignment horizontal="right" vertical="center"/>
    </xf>
    <xf numFmtId="0" fontId="0" fillId="0" borderId="12" xfId="0" applyBorder="1" applyAlignment="1">
      <alignment horizontal="right" vertical="center"/>
    </xf>
    <xf numFmtId="43" fontId="0" fillId="0" borderId="19" xfId="0" applyNumberFormat="1" applyBorder="1"/>
    <xf numFmtId="43" fontId="8" fillId="0" borderId="19" xfId="677" applyFont="1" applyFill="1" applyBorder="1" applyAlignment="1" applyProtection="1">
      <alignment horizontal="left"/>
    </xf>
    <xf numFmtId="43" fontId="0" fillId="0" borderId="19" xfId="0" applyNumberFormat="1" applyBorder="1" applyAlignment="1">
      <alignment horizontal="left"/>
    </xf>
    <xf numFmtId="0" fontId="2" fillId="0" borderId="3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6" xfId="0" applyFont="1" applyBorder="1" applyAlignment="1">
      <alignment horizontal="left"/>
    </xf>
    <xf numFmtId="0" fontId="2" fillId="0" borderId="23" xfId="0" applyFont="1" applyBorder="1"/>
    <xf numFmtId="0" fontId="48" fillId="0" borderId="29" xfId="0" applyFont="1" applyBorder="1"/>
    <xf numFmtId="0" fontId="46" fillId="0" borderId="22" xfId="0" applyFont="1" applyBorder="1" applyAlignment="1">
      <alignment horizontal="left"/>
    </xf>
    <xf numFmtId="0" fontId="47" fillId="0" borderId="27" xfId="0" applyFont="1" applyBorder="1" applyAlignment="1">
      <alignment horizontal="left"/>
    </xf>
    <xf numFmtId="0" fontId="46" fillId="0" borderId="24" xfId="0" applyFont="1" applyBorder="1" applyAlignment="1">
      <alignment horizontal="left"/>
    </xf>
    <xf numFmtId="0" fontId="47" fillId="0" borderId="28" xfId="0" applyFont="1" applyBorder="1" applyAlignment="1">
      <alignment horizontal="left"/>
    </xf>
    <xf numFmtId="43" fontId="40" fillId="0" borderId="12" xfId="0" applyNumberFormat="1" applyFont="1" applyBorder="1"/>
    <xf numFmtId="0" fontId="0" fillId="0" borderId="25" xfId="0" applyBorder="1" applyAlignment="1">
      <alignment horizontal="right" wrapText="1"/>
    </xf>
    <xf numFmtId="168" fontId="35" fillId="0" borderId="18" xfId="1" applyNumberFormat="1" applyFont="1" applyFill="1" applyBorder="1" applyAlignment="1" applyProtection="1">
      <alignment horizontal="left" vertical="center"/>
    </xf>
    <xf numFmtId="168" fontId="35" fillId="0" borderId="20" xfId="1" applyNumberFormat="1" applyFont="1" applyFill="1" applyBorder="1" applyAlignment="1" applyProtection="1">
      <alignment horizontal="right" vertical="center"/>
    </xf>
    <xf numFmtId="0" fontId="0" fillId="0" borderId="1" xfId="1" applyNumberFormat="1" applyFont="1" applyBorder="1" applyAlignment="1">
      <alignment horizontal="center"/>
    </xf>
    <xf numFmtId="43" fontId="40" fillId="0" borderId="1" xfId="0" applyNumberFormat="1" applyFont="1" applyBorder="1"/>
    <xf numFmtId="0" fontId="0" fillId="0" borderId="1" xfId="0" applyBorder="1" applyAlignment="1">
      <alignment horizontal="right" vertical="center"/>
    </xf>
    <xf numFmtId="168" fontId="44" fillId="0" borderId="19" xfId="1" applyNumberFormat="1" applyFont="1" applyFill="1" applyBorder="1" applyAlignment="1" applyProtection="1">
      <alignment horizontal="right" vertical="center"/>
    </xf>
    <xf numFmtId="168" fontId="40" fillId="0" borderId="1" xfId="1" applyNumberFormat="1" applyFont="1" applyFill="1" applyBorder="1" applyAlignment="1" applyProtection="1">
      <alignment horizontal="right" vertical="center"/>
    </xf>
    <xf numFmtId="0" fontId="0" fillId="0" borderId="12" xfId="0" applyBorder="1" applyAlignment="1">
      <alignment horizontal="right"/>
    </xf>
    <xf numFmtId="0" fontId="0" fillId="0" borderId="18" xfId="0" applyBorder="1" applyAlignment="1">
      <alignment horizontal="right" vertical="center"/>
    </xf>
    <xf numFmtId="168" fontId="35" fillId="0" borderId="1" xfId="1" applyNumberFormat="1" applyFont="1" applyFill="1" applyBorder="1" applyAlignment="1" applyProtection="1">
      <alignment horizontal="right" vertical="center"/>
    </xf>
    <xf numFmtId="168" fontId="35" fillId="0" borderId="1" xfId="1" applyNumberFormat="1" applyFont="1" applyFill="1" applyBorder="1" applyAlignment="1" applyProtection="1">
      <alignment horizontal="left" vertical="center"/>
    </xf>
    <xf numFmtId="0" fontId="42" fillId="0" borderId="24" xfId="0" applyFont="1" applyBorder="1" applyAlignment="1">
      <alignment horizontal="center" vertical="center"/>
    </xf>
    <xf numFmtId="0" fontId="42" fillId="0" borderId="26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43" fontId="43" fillId="0" borderId="18" xfId="1" applyFont="1" applyFill="1" applyBorder="1" applyAlignment="1" applyProtection="1">
      <alignment horizontal="center" vertical="center"/>
    </xf>
    <xf numFmtId="43" fontId="43" fillId="0" borderId="13" xfId="1" applyFont="1" applyFill="1" applyBorder="1" applyAlignment="1" applyProtection="1">
      <alignment horizontal="center" vertical="center"/>
    </xf>
    <xf numFmtId="43" fontId="43" fillId="0" borderId="20" xfId="1" applyFont="1" applyFill="1" applyBorder="1" applyAlignment="1" applyProtection="1">
      <alignment horizontal="center" vertical="center"/>
    </xf>
    <xf numFmtId="43" fontId="0" fillId="25" borderId="1" xfId="0" applyNumberFormat="1" applyFill="1" applyBorder="1"/>
    <xf numFmtId="43" fontId="0" fillId="25" borderId="12" xfId="0" applyNumberFormat="1" applyFill="1" applyBorder="1"/>
    <xf numFmtId="43" fontId="0" fillId="25" borderId="19" xfId="0" applyNumberFormat="1" applyFill="1" applyBorder="1"/>
  </cellXfs>
  <cellStyles count="685">
    <cellStyle name="20% - Accent1 2" xfId="88" xr:uid="{F8F47901-036E-495C-B972-B7C62853FB17}"/>
    <cellStyle name="20% - Accent1 2 2" xfId="15" xr:uid="{414FA3E4-F8CE-4240-A582-60060FCEDB97}"/>
    <cellStyle name="20% - Accent1 2_AHMC - January 2014 Payroll Reports" xfId="84" xr:uid="{9A53122C-3825-4CF0-95E1-633BDBC376D7}"/>
    <cellStyle name="20% - Accent2 2" xfId="89" xr:uid="{7C3A2D9F-AC8E-4D57-B09A-5DAAC9B8442F}"/>
    <cellStyle name="20% - Accent2 2 2" xfId="91" xr:uid="{E1B98893-6CE2-4D9A-9A53-F6CB3D1B6A92}"/>
    <cellStyle name="20% - Accent2 2_AHMC - January 2014 Payroll Reports" xfId="96" xr:uid="{268A9F5C-2208-42F4-ADCA-C82E2FFDB423}"/>
    <cellStyle name="20% - Accent3 2" xfId="21" xr:uid="{81610B98-7F18-4935-9065-81F747BC9A50}"/>
    <cellStyle name="20% - Accent3 2 2" xfId="67" xr:uid="{5EF01F32-E47D-4CF8-A48F-D8A5225D5FF9}"/>
    <cellStyle name="20% - Accent3 2_AHMC - January 2014 Payroll Reports" xfId="63" xr:uid="{662D9A56-BE8B-4829-8A1C-AE0D3CA95717}"/>
    <cellStyle name="20% - Accent4 2" xfId="78" xr:uid="{273047E2-DE47-4FBC-A6D2-C41C326647FF}"/>
    <cellStyle name="20% - Accent4 2 2" xfId="76" xr:uid="{29933F60-FA97-4504-9288-F6DE816D1AF2}"/>
    <cellStyle name="20% - Accent4 2_AHMC - January 2014 Payroll Reports" xfId="74" xr:uid="{271C7D69-A56D-452F-BDF7-6F0B571E6017}"/>
    <cellStyle name="20% - Accent5 2" xfId="97" xr:uid="{E2F9E8A4-5D21-4017-837E-31B9B4D2B8EA}"/>
    <cellStyle name="20% - Accent5 2 2" xfId="72" xr:uid="{3DCE20D8-8B62-4DB0-9A66-B281EC8978B3}"/>
    <cellStyle name="20% - Accent5 2_AHMC - January 2014 Payroll Reports" xfId="19" xr:uid="{92AC5A24-497D-4B78-B0E6-CF5EFEEA71BF}"/>
    <cellStyle name="20% - Accent6 2" xfId="100" xr:uid="{689204A3-3F80-4538-AD95-3CFB963A2AEB}"/>
    <cellStyle name="20% - Accent6 2 2" xfId="102" xr:uid="{935D9B98-F5B4-452F-8FD4-ADD6419C8729}"/>
    <cellStyle name="20% - Accent6 2_AHMC - January 2014 Payroll Reports" xfId="103" xr:uid="{0A9FC438-AB49-4B4C-A03D-741080EF15D3}"/>
    <cellStyle name="40% - Accent1 2" xfId="104" xr:uid="{4641F751-4B3F-4CD2-B5AA-6D3118D1DCD7}"/>
    <cellStyle name="40% - Accent1 2 2" xfId="107" xr:uid="{C954121C-EA42-44ED-A152-87FED129582E}"/>
    <cellStyle name="40% - Accent1 2_AHMC - January 2014 Payroll Reports" xfId="109" xr:uid="{605B221E-FAB1-44E6-8902-D750FD2BBF21}"/>
    <cellStyle name="40% - Accent2 2" xfId="110" xr:uid="{F2BC2198-0978-46A5-A041-367FA5B4F2E1}"/>
    <cellStyle name="40% - Accent2 2 2" xfId="111" xr:uid="{CAF618A2-27BB-41A0-A09B-8F69B27E5F31}"/>
    <cellStyle name="40% - Accent2 2_AHMC - January 2014 Payroll Reports" xfId="113" xr:uid="{03E4C45A-A4C1-4BAD-ACD9-683160EF8AE1}"/>
    <cellStyle name="40% - Accent3 2" xfId="115" xr:uid="{52A03BDA-3DD6-43FB-A11B-A9A568309B69}"/>
    <cellStyle name="40% - Accent3 2 2" xfId="116" xr:uid="{24E35DC6-EC1A-494F-AF4C-A8C81069EE4C}"/>
    <cellStyle name="40% - Accent3 2_AHMC - January 2014 Payroll Reports" xfId="117" xr:uid="{98FEB293-0D03-43B3-8EC2-690970BBB0B0}"/>
    <cellStyle name="40% - Accent4 2" xfId="118" xr:uid="{4016F36F-3A27-4004-A96D-F0169A09DD05}"/>
    <cellStyle name="40% - Accent4 2 2" xfId="120" xr:uid="{5E3BACD8-6538-4AC0-868B-2BA23FD11B73}"/>
    <cellStyle name="40% - Accent4 2_AHMC - January 2014 Payroll Reports" xfId="121" xr:uid="{93D74BE2-EE7F-4C48-8555-D82A8FC9A784}"/>
    <cellStyle name="40% - Accent5 2" xfId="124" xr:uid="{98BC26F0-A31C-4052-B41D-0F9E86BC20B9}"/>
    <cellStyle name="40% - Accent5 2 2" xfId="126" xr:uid="{02AAD1AD-FF49-402A-A84D-830C3C80A5C4}"/>
    <cellStyle name="40% - Accent5 2_AHMC - January 2014 Payroll Reports" xfId="129" xr:uid="{25C0329B-2525-404D-9E2A-4BFC8BE48B50}"/>
    <cellStyle name="40% - Accent6 2" xfId="130" xr:uid="{E53C3AF2-3481-4B77-B23F-FF8E2D32F84B}"/>
    <cellStyle name="40% - Accent6 2 2" xfId="133" xr:uid="{C90A4952-4339-4BA3-8FC0-F883252B100C}"/>
    <cellStyle name="40% - Accent6 2_AHMC - January 2014 Payroll Reports" xfId="134" xr:uid="{2316866D-2163-4796-8FCD-A2D4693C3073}"/>
    <cellStyle name="60% - Accent1 2" xfId="136" xr:uid="{7652BD85-E0AC-4CCC-8C35-9CCFF8A69F89}"/>
    <cellStyle name="60% - Accent2 2" xfId="137" xr:uid="{CDB5F4B4-1894-4FAC-89BB-1E7AD1120A52}"/>
    <cellStyle name="60% - Accent3 2" xfId="42" xr:uid="{270E47A0-EAF3-4016-9148-15911B74FFBB}"/>
    <cellStyle name="60% - Accent4 2" xfId="138" xr:uid="{555C4F70-26DB-4B32-A34A-0CDF1C82AB3C}"/>
    <cellStyle name="60% - Accent5 2" xfId="139" xr:uid="{19B00421-ACFA-4435-AFC3-6FC5E51B8F83}"/>
    <cellStyle name="60% - Accent6 2" xfId="143" xr:uid="{FD9A0500-7853-4223-B116-D5B622DEA344}"/>
    <cellStyle name="Accent1 2" xfId="144" xr:uid="{C981D831-44A0-47EE-9E54-99E8647C3896}"/>
    <cellStyle name="Accent2 2" xfId="146" xr:uid="{0F1C3CD8-EE1C-45C6-A47C-EB7C2D7FAB6A}"/>
    <cellStyle name="Accent3 2" xfId="147" xr:uid="{F9269E32-AB8F-4566-86A9-F8893974EF78}"/>
    <cellStyle name="Accent4 2" xfId="65" xr:uid="{93D3BCF1-3D2A-47E1-A755-FC8AFD620C6E}"/>
    <cellStyle name="Accent5 2" xfId="149" xr:uid="{B6A5B735-32D0-4C5E-974D-0651FDDD96C7}"/>
    <cellStyle name="Accent6 2" xfId="151" xr:uid="{4E2C8496-5BE3-47CD-B562-0FEC0BAC91D8}"/>
    <cellStyle name="Bad 2" xfId="152" xr:uid="{CF8E5ECE-1C91-436B-B3F1-277E8274CDA6}"/>
    <cellStyle name="Calculation 2" xfId="153" xr:uid="{9071E1B4-63CE-4BBF-BE33-95ED5BA8D6AB}"/>
    <cellStyle name="Check Cell 2" xfId="154" xr:uid="{379BC9DB-FE37-4D45-AAC8-445EA2068A52}"/>
    <cellStyle name="Comma" xfId="1" builtinId="3"/>
    <cellStyle name="Comma [0] 2" xfId="157" xr:uid="{0BC4F0FB-11B7-43A5-949E-E4C7D2E59F0E}"/>
    <cellStyle name="Comma [0] 2 2" xfId="159" xr:uid="{F0F0174D-14D5-4421-8A85-A4C0AF8363B7}"/>
    <cellStyle name="Comma 10" xfId="162" xr:uid="{AEB324AD-7F7B-44D3-8376-9B2A96E69DA8}"/>
    <cellStyle name="Comma 10 2" xfId="166" xr:uid="{4A0F94B6-9186-4B6C-88D1-211D031661E6}"/>
    <cellStyle name="Comma 10 2 2" xfId="168" xr:uid="{F9F0C0E3-B56D-414D-936B-BA494237F8CA}"/>
    <cellStyle name="Comma 10 2 3" xfId="35" xr:uid="{8FAD8F63-C40D-44F7-AF4F-8B7A6089BFF6}"/>
    <cellStyle name="Comma 10 2 4" xfId="175" xr:uid="{70DA9FD1-E893-4135-BB73-0F2E05BDB0FB}"/>
    <cellStyle name="Comma 10 2 5" xfId="180" xr:uid="{A1A21DE2-44EA-4340-ADBA-06645BDEA27A}"/>
    <cellStyle name="Comma 109" xfId="185" xr:uid="{73683EDC-6B4B-42CA-8D0A-69CAEDB9E68D}"/>
    <cellStyle name="Comma 11" xfId="188" xr:uid="{E92C9DC6-9503-4EB0-AFC7-79AB1222CA2E}"/>
    <cellStyle name="Comma 12" xfId="194" xr:uid="{427858AA-E297-4DB1-ACB4-C5B142744253}"/>
    <cellStyle name="Comma 13" xfId="200" xr:uid="{886A1CF5-F1AC-42F8-96DB-0B84DEC2C34A}"/>
    <cellStyle name="Comma 14" xfId="205" xr:uid="{7CBE331D-918A-4BC6-88C5-62E800BF0B17}"/>
    <cellStyle name="Comma 15" xfId="2" xr:uid="{D4E604AD-5904-446C-88E0-2B1242D0F7FD}"/>
    <cellStyle name="Comma 15 2" xfId="215" xr:uid="{4E0CEDBD-576E-4253-807E-6226F11295FD}"/>
    <cellStyle name="Comma 15 3" xfId="218" xr:uid="{9B71D8BA-0368-4BEC-96B4-142C09B30AE7}"/>
    <cellStyle name="Comma 15 3 2" xfId="221" xr:uid="{7F6AA928-27B8-47BE-BDB5-B650C7F9F8F7}"/>
    <cellStyle name="Comma 15 4" xfId="224" xr:uid="{A691D37F-4D43-4F77-B399-2E6D483EB945}"/>
    <cellStyle name="Comma 15 5" xfId="92" xr:uid="{9DEF8348-6A8D-425F-B5BE-4715258B9EFA}"/>
    <cellStyle name="Comma 15 6" xfId="226" xr:uid="{F0513E54-BD29-41B3-A3F8-BA77D76778E0}"/>
    <cellStyle name="Comma 15 7" xfId="211" xr:uid="{83497E59-E5E8-4E78-87BE-8559CF752B09}"/>
    <cellStyle name="Comma 16" xfId="3" xr:uid="{54ED8BF5-6B0E-4C80-BB09-3BD926333493}"/>
    <cellStyle name="Comma 16 2" xfId="236" xr:uid="{D8C6DB49-F2D5-480E-B9BA-09DBA6A912D6}"/>
    <cellStyle name="Comma 16 3" xfId="105" xr:uid="{04640B9F-F9D7-45A3-9A9A-01BC0D948F34}"/>
    <cellStyle name="Comma 16 4" xfId="232" xr:uid="{B568BC96-21DE-4869-9E48-2CC6CCB538D0}"/>
    <cellStyle name="Comma 17" xfId="237" xr:uid="{788F78C4-CDC2-4829-AE62-A54A64325914}"/>
    <cellStyle name="Comma 17 2" xfId="241" xr:uid="{A2C89A59-3810-4718-9C82-EA8757960C7F}"/>
    <cellStyle name="Comma 17 3" xfId="675" xr:uid="{F372AC3F-E0E6-449E-B2C7-FBD85DA2074B}"/>
    <cellStyle name="Comma 18" xfId="244" xr:uid="{71FFB7FC-2A24-46AC-9988-7A056DDE5DB8}"/>
    <cellStyle name="Comma 19" xfId="248" xr:uid="{F7A6F015-7EE2-4DBB-B6F7-106DCF75AB5E}"/>
    <cellStyle name="Comma 19 2" xfId="250" xr:uid="{2C358A57-98DA-4857-B667-55D8E0212DCD}"/>
    <cellStyle name="Comma 2" xfId="253" xr:uid="{E6F164F1-2EC2-44F3-82C8-24F7BD2C110D}"/>
    <cellStyle name="Comma 2 10" xfId="254" xr:uid="{138DF990-DD65-4356-BC88-C45D3401BC11}"/>
    <cellStyle name="Comma 2 11" xfId="255" xr:uid="{D53DD695-5DA8-402B-8CCC-7297E915FFB4}"/>
    <cellStyle name="Comma 2 12" xfId="101" xr:uid="{59F887D7-00FC-4262-8B53-5FFE11CE8A38}"/>
    <cellStyle name="Comma 2 13" xfId="43" xr:uid="{15BFEF9B-1745-42D5-B98D-FC6080A6FEB2}"/>
    <cellStyle name="Comma 2 14" xfId="256" xr:uid="{6427F855-A7D8-4C63-9E3C-FB4C7FDF5C49}"/>
    <cellStyle name="Comma 2 15" xfId="257" xr:uid="{9585530A-F755-4478-A5D0-2D47D28D6FE5}"/>
    <cellStyle name="Comma 2 16" xfId="259" xr:uid="{C623FC6B-7A7A-4EE3-8787-21952CE572F1}"/>
    <cellStyle name="Comma 2 17" xfId="261" xr:uid="{AFAB1BBE-0D90-4600-9F59-A9C2489D514E}"/>
    <cellStyle name="Comma 2 18" xfId="262" xr:uid="{1C43B424-92C0-4763-B2AB-5055EEF0D827}"/>
    <cellStyle name="Comma 2 19" xfId="263" xr:uid="{DC08FF45-9EC5-45C1-A0D8-8CDD6AE61C99}"/>
    <cellStyle name="Comma 2 2" xfId="81" xr:uid="{B3DD3AF7-79B5-4CCE-B595-E382D8B7AC1E}"/>
    <cellStyle name="Comma 2 2 2" xfId="264" xr:uid="{5DE53587-9CDA-4951-AE0A-E19C25C3B4EE}"/>
    <cellStyle name="Comma 2 2 2 2" xfId="265" xr:uid="{20819862-7D0E-439C-9FD9-F3BFCD203523}"/>
    <cellStyle name="Comma 2 2 2 3" xfId="266" xr:uid="{AA3B2A1B-03A7-4C4B-9420-A5108C060F26}"/>
    <cellStyle name="Comma 2 2 2 4" xfId="267" xr:uid="{C55314FF-92AC-4B76-8BB5-3126850BAED3}"/>
    <cellStyle name="Comma 2 2 2 5" xfId="268" xr:uid="{2004E77E-933C-425E-9C39-9D0D803C0FD8}"/>
    <cellStyle name="Comma 2 2 2 6" xfId="145" xr:uid="{18162157-433A-462C-87C3-5BC8AEDE746D}"/>
    <cellStyle name="Comma 2 20" xfId="258" xr:uid="{6D6FAAA8-E5AE-43D0-9C0A-56C116D2433A}"/>
    <cellStyle name="Comma 2 21" xfId="260" xr:uid="{49BA4C00-10F8-4965-A373-ED4501161B17}"/>
    <cellStyle name="Comma 2 3" xfId="169" xr:uid="{32239FFD-9836-409A-A758-87420E5465DD}"/>
    <cellStyle name="Comma 2 3 2" xfId="270" xr:uid="{6B60F67E-975C-4686-86E9-990688B87315}"/>
    <cellStyle name="Comma 2 3 3" xfId="128" xr:uid="{02D07A2A-81D5-4C02-9A6E-FE5162316933}"/>
    <cellStyle name="Comma 2 3 4" xfId="273" xr:uid="{60E682BD-BC16-426C-8DD5-1FCF8C24EB8C}"/>
    <cellStyle name="Comma 2 3 5" xfId="158" xr:uid="{B55E9519-BCB5-4081-AFF9-504A7EF8992E}"/>
    <cellStyle name="Comma 2 3 6" xfId="275" xr:uid="{B50FAF62-EB3D-4DBF-8154-31AD0F29F30B}"/>
    <cellStyle name="Comma 2 4" xfId="36" xr:uid="{BE4E2F00-8718-4214-9AC2-0857DC7D6345}"/>
    <cellStyle name="Comma 2 4 2" xfId="277" xr:uid="{EDD64291-6681-4E3A-BBA4-20BA0A790471}"/>
    <cellStyle name="Comma 2 4 3" xfId="280" xr:uid="{C1053C12-B99E-4A52-B593-B7CFC187BEBE}"/>
    <cellStyle name="Comma 2 4 4" xfId="282" xr:uid="{A2BC6AF9-79DE-432B-8A71-2AD979595E14}"/>
    <cellStyle name="Comma 2 5" xfId="176" xr:uid="{C3A0A74F-7F9D-4766-A0C4-9C681C5F26D8}"/>
    <cellStyle name="Comma 2 5 2" xfId="285" xr:uid="{82FD08E1-415B-489B-894E-3913CF34F34B}"/>
    <cellStyle name="Comma 2 5 3" xfId="9" xr:uid="{C2A20050-C06F-49ED-8799-7CF67B930709}"/>
    <cellStyle name="Comma 2 5 4" xfId="288" xr:uid="{EEC0F8EA-8B2F-4D0D-8859-C5A24C7B8566}"/>
    <cellStyle name="Comma 2 6" xfId="181" xr:uid="{2D94E198-78B3-4823-8461-1E456DB363FA}"/>
    <cellStyle name="Comma 2 7" xfId="292" xr:uid="{4DAA9DE8-521A-4174-9015-9660BD2EB24E}"/>
    <cellStyle name="Comma 2 8" xfId="296" xr:uid="{5A8CD791-A856-4018-801A-E45E2C51E03A}"/>
    <cellStyle name="Comma 2 9" xfId="299" xr:uid="{DA94949E-A9C2-4056-B34E-FFBFCA0D1A38}"/>
    <cellStyle name="Comma 20" xfId="212" xr:uid="{D68B96EA-72CB-418C-A2B0-B8FC2371E069}"/>
    <cellStyle name="Comma 21" xfId="233" xr:uid="{72B8305B-A8E4-4020-9778-E7675432D572}"/>
    <cellStyle name="Comma 22" xfId="238" xr:uid="{FC32378C-9BD6-4DEC-B005-047657BE3654}"/>
    <cellStyle name="Comma 23" xfId="672" xr:uid="{D3B2E575-95A5-469F-A7DC-B0FBB715216D}"/>
    <cellStyle name="Comma 24" xfId="673" xr:uid="{6C127091-920C-43CE-BB2B-A289652BEA0D}"/>
    <cellStyle name="Comma 25" xfId="5" xr:uid="{A7185F5D-A1AC-4254-8566-78B2AB4865B0}"/>
    <cellStyle name="Comma 26" xfId="677" xr:uid="{49EA1CB9-2600-4B95-B734-78FAF125207A}"/>
    <cellStyle name="Comma 27" xfId="680" xr:uid="{154F4F35-9645-4B48-86FB-1565C72E793B}"/>
    <cellStyle name="Comma 28" xfId="678" xr:uid="{8D9C710B-2368-48C1-9661-507493C8FF60}"/>
    <cellStyle name="Comma 29" xfId="684" xr:uid="{1B3D5247-FA5F-4BF8-8133-1D0D3AA6CBA5}"/>
    <cellStyle name="Comma 3" xfId="305" xr:uid="{AB37AF9F-E670-4C2E-A7CD-8068C0047558}"/>
    <cellStyle name="Comma 3 2" xfId="306" xr:uid="{22A8ABD5-3DA4-436E-BBC6-83F8D87947D1}"/>
    <cellStyle name="Comma 3 2 2" xfId="307" xr:uid="{7EAA1E96-4BC0-4B25-A979-4A71E3C9D625}"/>
    <cellStyle name="Comma 3 2 3" xfId="308" xr:uid="{1ECFE948-B1E2-4D88-84E9-88D4C78576AB}"/>
    <cellStyle name="Comma 3 2 4" xfId="309" xr:uid="{BB2D4649-33CF-48C7-93E6-CE5DF4FC1D92}"/>
    <cellStyle name="Comma 3 3" xfId="310" xr:uid="{BBD37F21-F991-40FA-B28B-30BF0C3A6F58}"/>
    <cellStyle name="Comma 3 4" xfId="311" xr:uid="{DEA6441F-F42D-4EE4-B0CD-807EC22B3038}"/>
    <cellStyle name="Comma 3 5" xfId="313" xr:uid="{0015BC3C-34FD-4D4D-ABA4-A9368B4F54A7}"/>
    <cellStyle name="Comma 4" xfId="315" xr:uid="{C0098DEC-CC3E-4E0D-A257-8BB006EB5773}"/>
    <cellStyle name="Comma 4 2" xfId="316" xr:uid="{A9ACD51B-647A-4BCF-80B7-AB665DAD0108}"/>
    <cellStyle name="Comma 4 3" xfId="317" xr:uid="{0BDFE846-9EA4-422B-A979-5E167D9EE06E}"/>
    <cellStyle name="Comma 4 4" xfId="318" xr:uid="{FDA47E9E-B7C1-4828-9003-C13784CD0AC0}"/>
    <cellStyle name="Comma 5" xfId="319" xr:uid="{F3989483-4DAB-4060-BF9C-E0242568E75C}"/>
    <cellStyle name="Comma 5 2" xfId="320" xr:uid="{CB195D14-10DC-4771-AAAA-5503782A7891}"/>
    <cellStyle name="Comma 6" xfId="322" xr:uid="{C0ED23FE-2E4A-4B22-A180-A883EBD481AD}"/>
    <cellStyle name="Comma 6 2" xfId="324" xr:uid="{3C42409D-B75D-469C-90A7-DE95F148717F}"/>
    <cellStyle name="Comma 7" xfId="325" xr:uid="{A5CE9317-05E3-4585-B6EF-C91764CFA46E}"/>
    <cellStyle name="Comma 8" xfId="327" xr:uid="{9E385055-CF56-44AB-A065-68410C7742AF}"/>
    <cellStyle name="Comma 9" xfId="329" xr:uid="{1E7A16CA-81C8-41E5-B88F-8AD6CC0371D1}"/>
    <cellStyle name="Currency 2" xfId="330" xr:uid="{13D0A1FE-3100-431F-A24A-63431FB13814}"/>
    <cellStyle name="Explanatory Text 2" xfId="331" xr:uid="{B767A26B-2461-4C9D-908D-8A6A44073E38}"/>
    <cellStyle name="Good 2" xfId="323" xr:uid="{AD41A555-E3BD-47B4-85F4-CA9CD4C2747F}"/>
    <cellStyle name="Grey" xfId="333" xr:uid="{E36AAE2C-6FF9-43F3-9D4C-DABC0DF6784C}"/>
    <cellStyle name="Heading 1 2" xfId="334" xr:uid="{4AA0CE41-B5A2-4800-A2D0-FEF1E05CC277}"/>
    <cellStyle name="Heading 2 2" xfId="300" xr:uid="{EE8FBDF9-3CE6-40F1-811E-89402F60B59B}"/>
    <cellStyle name="Heading 3 2" xfId="68" xr:uid="{E1814D41-3071-4D63-AADC-5ED996E9B082}"/>
    <cellStyle name="Heading 4 2" xfId="335" xr:uid="{FBAA3BCE-74F9-4F6F-8E89-A9C2BD95666F}"/>
    <cellStyle name="Hyperlink 2" xfId="289" xr:uid="{74DC6988-49D2-4680-8695-E3A116F50335}"/>
    <cellStyle name="Hyperlink 2 2" xfId="337" xr:uid="{DB98E3B9-1BA8-4A5D-B987-0F0AE686C032}"/>
    <cellStyle name="Hyperlink 2 2 2" xfId="338" xr:uid="{8D05AD05-7FC9-421D-A914-CB512B1B689A}"/>
    <cellStyle name="Hyperlink 2 2 3" xfId="342" xr:uid="{58B3542F-D9AC-4555-B106-8AFD6B5F9E8F}"/>
    <cellStyle name="Hyperlink 2 2 4" xfId="160" xr:uid="{09C33AC5-2D2F-437C-91A8-4C901AC724C1}"/>
    <cellStyle name="Hyperlink 2 3" xfId="348" xr:uid="{CAD1CAC4-D90B-439B-A18F-CA77A79242DF}"/>
    <cellStyle name="Hyperlink 2 4" xfId="321" xr:uid="{9F8A6D2D-67C8-42A2-9B7A-D3777E028D27}"/>
    <cellStyle name="Hyperlink 2 5" xfId="349" xr:uid="{9BE7BFFE-9FAE-44D7-B01B-321933C34596}"/>
    <cellStyle name="Hyperlink 3" xfId="354" xr:uid="{D97C1B21-F4C6-4CD0-82B5-D217C5F11D7B}"/>
    <cellStyle name="IBM Cognos - Column Name" xfId="357" xr:uid="{82F72E67-7379-4E3D-AB31-114584E3CAF8}"/>
    <cellStyle name="IBM Cognos - Column Name 2" xfId="358" xr:uid="{A1B7DD89-EA20-4786-B3BC-E359C1EF14FD}"/>
    <cellStyle name="IBM Cognos - Column Name 3" xfId="362" xr:uid="{25D18B15-71FB-4C00-BF61-65F4C096383F}"/>
    <cellStyle name="IBM Cognos - Column Name 4" xfId="85" xr:uid="{165A5A27-8586-4BD2-9884-4FC3AD6690BC}"/>
    <cellStyle name="IBM Cognos - Column Name 5" xfId="172" xr:uid="{5E24023D-67F5-4386-8669-6242FCEAC29B}"/>
    <cellStyle name="IBM Cognos - Group Name" xfId="366" xr:uid="{F96C532A-B000-4B1D-A9FD-5EFE6E4A762E}"/>
    <cellStyle name="IBM Cognos - Group Name 2" xfId="368" xr:uid="{405E8CBD-E990-47CD-BFFF-DBF6CF99B133}"/>
    <cellStyle name="IBM Cognos - Group Name 3" xfId="369" xr:uid="{DCA5A9AC-E5C4-4B09-873C-D9CF1580CE6B}"/>
    <cellStyle name="IBM Cognos - Group Name 4" xfId="370" xr:uid="{CF2059EE-C8FC-406D-AB51-5A19F2ACC934}"/>
    <cellStyle name="IBM Cognos - Group Name 5" xfId="371" xr:uid="{A83C6AB9-3296-4081-A6E0-EA1C5377631B}"/>
    <cellStyle name="IBM Cognos - List Name" xfId="372" xr:uid="{E477EC32-FF92-4A70-86F4-F77A1BA73A98}"/>
    <cellStyle name="IBM Cognos - List Name 2" xfId="374" xr:uid="{DE3E5F28-A031-4089-985A-24E095645AAF}"/>
    <cellStyle name="IBM Cognos - List Name 3" xfId="376" xr:uid="{C9555A11-E289-42B7-A198-2CAE77E01410}"/>
    <cellStyle name="IBM Cognos - List Name 4" xfId="378" xr:uid="{2AA5F63E-CD53-46EB-8487-EDA915432DA3}"/>
    <cellStyle name="IBM Cognos - List Name 5" xfId="131" xr:uid="{371D185C-48E0-40CB-BA31-CEFB21ACB165}"/>
    <cellStyle name="IBM Cognos - Measure" xfId="229" xr:uid="{D5804BCB-18EE-42EE-A67E-DC33447829E4}"/>
    <cellStyle name="IBM Cognos - Measure Name" xfId="351" xr:uid="{9E1D9F7B-E795-48FC-8BE8-8B64420A2289}"/>
    <cellStyle name="IBM Cognos - Measure_CLDH September 2015 Payroll Reports" xfId="33" xr:uid="{BC977B11-563A-4564-99DD-1DBDF9F2D4CB}"/>
    <cellStyle name="IBM Cognos - Row Name" xfId="380" xr:uid="{B74CAB98-4655-4CB2-B5AD-1799BDD8915E}"/>
    <cellStyle name="IBM Cognos - Row Name 2" xfId="381" xr:uid="{77DA3CE2-B133-4EE3-BF2F-F825684ACF21}"/>
    <cellStyle name="IBM Cognos - Row Name 3" xfId="383" xr:uid="{0D9885DD-B7F7-4189-A6AE-90401624E3E1}"/>
    <cellStyle name="IBM Cognos - Row Name 4" xfId="46" xr:uid="{C4EC6600-0497-41C6-BA84-92DF7C40CE88}"/>
    <cellStyle name="IBM Cognos - Row Name 5" xfId="54" xr:uid="{3B0D78E0-B732-4DD9-A251-7906011B11BD}"/>
    <cellStyle name="IBM Cognos - Summary Column" xfId="386" xr:uid="{8578212F-8E8A-44E9-AB60-B45417250195}"/>
    <cellStyle name="IBM Cognos - Summary Column Name" xfId="387" xr:uid="{AB38E128-AE5A-42DB-8653-BC7C5097C181}"/>
    <cellStyle name="IBM Cognos - Summary Row" xfId="389" xr:uid="{488A1FC7-0127-428B-B708-0A94EF6EC7D8}"/>
    <cellStyle name="IBM Cognos - Summary Row Name" xfId="106" xr:uid="{666B1B1B-312D-4E09-A3B4-AFC4B0EA7C39}"/>
    <cellStyle name="Input [yellow]" xfId="390" xr:uid="{14FFAE09-997B-4E69-9AA6-33D0A8776B3F}"/>
    <cellStyle name="Input [yellow] 2" xfId="679" xr:uid="{EFBD106D-4DF9-4291-907B-8855912C3FFE}"/>
    <cellStyle name="Input 2" xfId="391" xr:uid="{3D23D25D-DE9D-42E3-814F-A7E33B2F2555}"/>
    <cellStyle name="Linked Cell 2" xfId="278" xr:uid="{6A3CBAB5-FF0F-48C7-8FB3-AB81DB64AEDA}"/>
    <cellStyle name="Neutral 2" xfId="344" xr:uid="{C83C0404-316D-4BC7-96CC-4EF098752A26}"/>
    <cellStyle name="Normal" xfId="0" builtinId="0"/>
    <cellStyle name="Normal - Style1" xfId="61" xr:uid="{EB873332-25E6-4E35-BA39-73A743E6C930}"/>
    <cellStyle name="Normal 10" xfId="393" xr:uid="{67CE3BC9-AB0E-4FEC-88C1-66EBD4C433AB}"/>
    <cellStyle name="Normal 10 2" xfId="394" xr:uid="{B4B9BA65-E463-4A19-8541-8C161CC465C8}"/>
    <cellStyle name="Normal 11" xfId="395" xr:uid="{E6282A30-278C-4E9F-81AB-AA4AE23A26A7}"/>
    <cellStyle name="Normal 12" xfId="155" xr:uid="{9FE9367A-0CB6-40CB-A398-B117B4CA5883}"/>
    <cellStyle name="Normal 13" xfId="396" xr:uid="{F5C73253-26B4-40C3-B23F-DC53C1C57608}"/>
    <cellStyle name="Normal 14" xfId="397" xr:uid="{27FEA92C-CD54-4120-B022-F2018BDD724F}"/>
    <cellStyle name="Normal 15" xfId="399" xr:uid="{8AB7AED2-72EA-457A-A24E-F6AFB42F7A84}"/>
    <cellStyle name="Normal 16" xfId="340" xr:uid="{A8BAD46E-B540-4A22-A85B-BC7C18AD5A28}"/>
    <cellStyle name="Normal 17" xfId="345" xr:uid="{D59458C8-A0FD-483E-84EB-ADA869087617}"/>
    <cellStyle name="Normal 18" xfId="163" xr:uid="{7822F5B7-EF72-4B2B-A16F-5E6F190C395E}"/>
    <cellStyle name="Normal 19" xfId="189" xr:uid="{303BA119-7784-494C-820D-47E03C601BCE}"/>
    <cellStyle name="Normal 2" xfId="283" xr:uid="{669A8CE0-B536-460B-801F-EE554C374AE3}"/>
    <cellStyle name="Normal 2 10" xfId="401" xr:uid="{7F2382FA-29F2-4E81-9730-2B93C99D81A1}"/>
    <cellStyle name="Normal 2 10 2" xfId="402" xr:uid="{AE43F619-162A-48C3-87FA-9826DFE1570E}"/>
    <cellStyle name="Normal 2 10_AHMC - January 2014 Payroll Reports" xfId="271" xr:uid="{9FDFBE9A-12BB-4A2F-8E36-729FCACE7402}"/>
    <cellStyle name="Normal 2 11" xfId="403" xr:uid="{F4D68F3B-7913-469C-A1E2-C247CA2B24C3}"/>
    <cellStyle name="Normal 2 11 2" xfId="405" xr:uid="{41A86D20-73C4-442F-8DC5-7E91DD0A627C}"/>
    <cellStyle name="Normal 2 12" xfId="406" xr:uid="{7AA7B38C-2222-4208-9896-6A7264FAB3F8}"/>
    <cellStyle name="Normal 2 12 2" xfId="407" xr:uid="{5FB12556-B7D6-4D11-96BA-C6E0397C707E}"/>
    <cellStyle name="Normal 2 13" xfId="408" xr:uid="{BA6E6CCE-A799-409A-AA07-72AAE75252F7}"/>
    <cellStyle name="Normal 2 14" xfId="30" xr:uid="{A9BF2FFC-E3B3-4FDB-9658-D7ECDE1A9397}"/>
    <cellStyle name="Normal 2 15" xfId="217" xr:uid="{EEDE2371-D0C7-4324-B8F1-DD501274147E}"/>
    <cellStyle name="Normal 2 16" xfId="220" xr:uid="{D1209C0C-5CAC-4E02-B8E3-C2EB9C056E19}"/>
    <cellStyle name="Normal 2 17" xfId="223" xr:uid="{0137FDD4-6702-4985-8FE2-F91B4C99D2FD}"/>
    <cellStyle name="Normal 2 18" xfId="94" xr:uid="{7AC462DE-F252-4ABD-8173-99EECC001445}"/>
    <cellStyle name="Normal 2 19" xfId="228" xr:uid="{D3B9AB46-43C3-4B91-B03E-F7F443C42A26}"/>
    <cellStyle name="Normal 2 2" xfId="409" xr:uid="{6E88B539-93DB-425C-9C16-A886684969FD}"/>
    <cellStyle name="Normal 2 2 10" xfId="410" xr:uid="{3D3CA8D8-1860-47A6-B756-1B9632E8A681}"/>
    <cellStyle name="Normal 2 2 11" xfId="148" xr:uid="{8B3CE5E8-B149-4EC1-B1B3-C6D915E7FAAB}"/>
    <cellStyle name="Normal 2 2 12" xfId="41" xr:uid="{ED3D722B-240D-4E32-8648-482F98EC7A3D}"/>
    <cellStyle name="Normal 2 2 13" xfId="6" xr:uid="{B6D22921-0AB5-40D9-9FBA-F63D98F1405D}"/>
    <cellStyle name="Normal 2 2 14" xfId="411" xr:uid="{06F03A38-CF1B-4832-9E5B-BA7E526B5355}"/>
    <cellStyle name="Normal 2 2 15" xfId="413" xr:uid="{FF94C814-E543-42AD-B857-B2B8D60310C9}"/>
    <cellStyle name="Normal 2 2 16" xfId="415" xr:uid="{5CE26D38-837A-4806-8C27-02475E7BB644}"/>
    <cellStyle name="Normal 2 2 17" xfId="417" xr:uid="{A8156EA5-1B88-4BD4-BD90-BE99F6A4037C}"/>
    <cellStyle name="Normal 2 2 18" xfId="419" xr:uid="{E219707A-E8EA-4A1C-972B-2B99342EB939}"/>
    <cellStyle name="Normal 2 2 19" xfId="73" xr:uid="{8F1EA1A6-BD5F-4218-BD4F-11A2067B7BB3}"/>
    <cellStyle name="Normal 2 2 2" xfId="420" xr:uid="{27669AA8-55A5-4741-8961-239B86D632E1}"/>
    <cellStyle name="Normal 2 2 2 10" xfId="421" xr:uid="{3D102C80-35EA-486D-A69E-AEC4ADA8B72B}"/>
    <cellStyle name="Normal 2 2 2 11" xfId="140" xr:uid="{17752D74-C415-47DF-A938-74F0B32E298E}"/>
    <cellStyle name="Normal 2 2 2 12" xfId="423" xr:uid="{97F69BCB-614B-4B46-B9CC-859ACB76DC4E}"/>
    <cellStyle name="Normal 2 2 2 13" xfId="359" xr:uid="{3C72D98C-9604-40C0-8ED7-AE42DE47C4A9}"/>
    <cellStyle name="Normal 2 2 2 14" xfId="363" xr:uid="{DE6619A3-1569-4476-BD34-BBB96A79F003}"/>
    <cellStyle name="Normal 2 2 2 15" xfId="86" xr:uid="{E97D668B-A3A2-48D4-B99B-4F005CE03A7F}"/>
    <cellStyle name="Normal 2 2 2 16" xfId="173" xr:uid="{C8E03DBF-AACC-45C6-8914-2A7E7AA38291}"/>
    <cellStyle name="Normal 2 2 2 17" xfId="39" xr:uid="{55AA3E12-97A7-431B-B7AB-CD9EE309434D}"/>
    <cellStyle name="Normal 2 2 2 18" xfId="178" xr:uid="{93D7B0F3-B469-4BC6-8E6B-AD097D9985F0}"/>
    <cellStyle name="Normal 2 2 2 19" xfId="183" xr:uid="{514A4BF0-0852-45A5-8777-FFBBD56C2CBC}"/>
    <cellStyle name="Normal 2 2 2 2" xfId="56" xr:uid="{12EE58E1-4147-4399-8642-129244D7DB45}"/>
    <cellStyle name="Normal 2 2 2 2 10" xfId="426" xr:uid="{13E7DF93-44AB-4090-9482-85C8312F6E21}"/>
    <cellStyle name="Normal 2 2 2 2 11" xfId="427" xr:uid="{75A0A86B-3B73-46C6-8840-B426B0CEEC00}"/>
    <cellStyle name="Normal 2 2 2 2 12" xfId="167" xr:uid="{419F17A6-57F1-4C90-99DD-DAFE9874C229}"/>
    <cellStyle name="Normal 2 2 2 2 13" xfId="428" xr:uid="{27BB82C8-A091-43F8-875E-0DEC3BE2D117}"/>
    <cellStyle name="Normal 2 2 2 2 14" xfId="112" xr:uid="{06221F0D-8C39-47EA-84AC-26DCBA4C749B}"/>
    <cellStyle name="Normal 2 2 2 2 15" xfId="429" xr:uid="{2170FF4E-3223-432A-B07F-A636677057BE}"/>
    <cellStyle name="Normal 2 2 2 2 16" xfId="431" xr:uid="{3F104DB2-775C-4FC5-85C3-86AA47936FFB}"/>
    <cellStyle name="Normal 2 2 2 2 17" xfId="433" xr:uid="{7E57DD36-4527-4748-B160-8D83BFD16F9B}"/>
    <cellStyle name="Normal 2 2 2 2 18" xfId="435" xr:uid="{9E2725A3-945D-41AF-962A-B3DB70D18455}"/>
    <cellStyle name="Normal 2 2 2 2 19" xfId="437" xr:uid="{DE2DF459-B4AA-4FD6-A539-48C24A50CA55}"/>
    <cellStyle name="Normal 2 2 2 2 2" xfId="22" xr:uid="{120EA5E2-1719-41C3-816B-BD0BDAD56EA6}"/>
    <cellStyle name="Normal 2 2 2 2 2 10" xfId="49" xr:uid="{D1FAF7DD-C229-4B17-9021-479132BE5F2F}"/>
    <cellStyle name="Normal 2 2 2 2 2 11" xfId="55" xr:uid="{24A3B23B-17EB-4B86-A6B7-C30E852CD2EF}"/>
    <cellStyle name="Normal 2 2 2 2 2 12" xfId="58" xr:uid="{111688AA-23AD-4D60-9382-76541C39E2BE}"/>
    <cellStyle name="Normal 2 2 2 2 2 13" xfId="62" xr:uid="{B5FBD53E-86F1-4906-9769-91459F2E4320}"/>
    <cellStyle name="Normal 2 2 2 2 2 14" xfId="66" xr:uid="{6E090A6C-C005-4FD5-86CF-BF40C7C5E5B6}"/>
    <cellStyle name="Normal 2 2 2 2 2 15" xfId="439" xr:uid="{77BA624B-2213-4586-86DF-7FA0CDC4A21E}"/>
    <cellStyle name="Normal 2 2 2 2 2 16" xfId="441" xr:uid="{79CA66F2-4C81-4363-902A-07EFCA13C948}"/>
    <cellStyle name="Normal 2 2 2 2 2 17" xfId="443" xr:uid="{A4661FCE-DC05-470A-B043-8B921C84A3D0}"/>
    <cellStyle name="Normal 2 2 2 2 2 18" xfId="445" xr:uid="{86857573-0F1C-4DC8-A576-F021561DA821}"/>
    <cellStyle name="Normal 2 2 2 2 2 19" xfId="447" xr:uid="{5045284A-8E96-4239-B966-C955B4E29A1A}"/>
    <cellStyle name="Normal 2 2 2 2 2 2" xfId="69" xr:uid="{A02C4F0F-911D-4B93-A534-962FD73FF7E3}"/>
    <cellStyle name="Normal 2 2 2 2 2 2 10" xfId="449" xr:uid="{F3321600-4FCB-46D1-A77F-98A581D9543F}"/>
    <cellStyle name="Normal 2 2 2 2 2 2 11" xfId="452" xr:uid="{E4B3834C-318C-41B5-BAA8-291038849F70}"/>
    <cellStyle name="Normal 2 2 2 2 2 2 12" xfId="456" xr:uid="{820DED5B-4D96-4613-8543-42D14CBDBED3}"/>
    <cellStyle name="Normal 2 2 2 2 2 2 13" xfId="18" xr:uid="{D3B3E3C2-CC2F-45AD-9E84-572F01DF476B}"/>
    <cellStyle name="Normal 2 2 2 2 2 2 14" xfId="13" xr:uid="{7F90B8BD-9DBA-48CD-9F54-AA41F385F6E1}"/>
    <cellStyle name="Normal 2 2 2 2 2 2 15" xfId="23" xr:uid="{F8154A61-1799-4B8E-8440-9A7B4BC725A0}"/>
    <cellStyle name="Normal 2 2 2 2 2 2 16" xfId="26" xr:uid="{CCB0B9F7-72B0-4AE9-9D4F-800F9804B2FB}"/>
    <cellStyle name="Normal 2 2 2 2 2 2 17" xfId="459" xr:uid="{6DF35AF4-B4E8-47B7-ABBA-206D80121208}"/>
    <cellStyle name="Normal 2 2 2 2 2 2 18" xfId="462" xr:uid="{75A8EA9F-7155-4C26-95AC-F2E080E9F9B5}"/>
    <cellStyle name="Normal 2 2 2 2 2 2 19" xfId="122" xr:uid="{F561F966-2450-4535-A94E-155AB5F91472}"/>
    <cellStyle name="Normal 2 2 2 2 2 2 2" xfId="400" xr:uid="{25167218-211A-44DF-B347-1D882EDF5A3D}"/>
    <cellStyle name="Normal 2 2 2 2 2 2 2 10" xfId="465" xr:uid="{69FFDE28-2E52-4D99-9B24-43B698539451}"/>
    <cellStyle name="Normal 2 2 2 2 2 2 2 11" xfId="466" xr:uid="{8B12579F-5E2F-4296-8605-A83022ECEFCF}"/>
    <cellStyle name="Normal 2 2 2 2 2 2 2 12" xfId="469" xr:uid="{735FC64B-E018-4C5B-BC2E-1AB7C9DE297E}"/>
    <cellStyle name="Normal 2 2 2 2 2 2 2 13" xfId="471" xr:uid="{DFCB2C78-9DD2-4D9F-82E2-10DA91ED25AC}"/>
    <cellStyle name="Normal 2 2 2 2 2 2 2 14" xfId="473" xr:uid="{D8A2E2A3-F249-4B45-A243-D37F9D864649}"/>
    <cellStyle name="Normal 2 2 2 2 2 2 2 15" xfId="475" xr:uid="{CEB45898-BA54-49D8-AA58-4FC2C5E95FED}"/>
    <cellStyle name="Normal 2 2 2 2 2 2 2 16" xfId="477" xr:uid="{A5C377EA-AB66-49B3-86D1-ECD42B807840}"/>
    <cellStyle name="Normal 2 2 2 2 2 2 2 17" xfId="479" xr:uid="{63F75746-F9E2-4DDC-A8BE-44AAAD903355}"/>
    <cellStyle name="Normal 2 2 2 2 2 2 2 18" xfId="481" xr:uid="{504C26DA-56F9-4012-AAD7-9C8E93DA4D3D}"/>
    <cellStyle name="Normal 2 2 2 2 2 2 2 2" xfId="467" xr:uid="{420A03DF-D962-43F2-A655-07C495413E72}"/>
    <cellStyle name="Normal 2 2 2 2 2 2 2 3" xfId="468" xr:uid="{ED77CDBF-4B47-42BB-8383-131BF31FB72F}"/>
    <cellStyle name="Normal 2 2 2 2 2 2 2 4" xfId="470" xr:uid="{9C4325A0-9387-4BB2-A09A-B1BE1CD44279}"/>
    <cellStyle name="Normal 2 2 2 2 2 2 2 5" xfId="472" xr:uid="{488970FA-4E3F-4CD4-8FC9-69DAFBEB07AE}"/>
    <cellStyle name="Normal 2 2 2 2 2 2 2 6" xfId="474" xr:uid="{DE133C07-73BE-456E-B0AE-44CB8EF442D1}"/>
    <cellStyle name="Normal 2 2 2 2 2 2 2 7" xfId="476" xr:uid="{15CB769F-FC8F-4D70-8231-D55BB8179094}"/>
    <cellStyle name="Normal 2 2 2 2 2 2 2 8" xfId="478" xr:uid="{A7188A7A-5C1E-4DCD-9519-F4A6795354C1}"/>
    <cellStyle name="Normal 2 2 2 2 2 2 2 9" xfId="480" xr:uid="{ECB5C9B9-AC58-4EA9-9337-FFA986895F4A}"/>
    <cellStyle name="Normal 2 2 2 2 2 2 2_AHMC - January 2014 Payroll Reports" xfId="482" xr:uid="{576C94E4-1B85-44FB-9629-A6707ACBBC20}"/>
    <cellStyle name="Normal 2 2 2 2 2 2 20" xfId="24" xr:uid="{DFCAA0A8-77B5-4BBE-8339-D053A29436F7}"/>
    <cellStyle name="Normal 2 2 2 2 2 2 21" xfId="27" xr:uid="{871696EB-052D-4375-8563-176E40D55950}"/>
    <cellStyle name="Normal 2 2 2 2 2 2 22" xfId="460" xr:uid="{D4A92769-0031-4850-9E02-9C5024EBB35A}"/>
    <cellStyle name="Normal 2 2 2 2 2 2 23" xfId="463" xr:uid="{B3659C22-0E70-48FD-900E-16AD707B52BC}"/>
    <cellStyle name="Normal 2 2 2 2 2 2 24" xfId="123" xr:uid="{01F273EC-E92A-4FAE-9745-1DA8997044D2}"/>
    <cellStyle name="Normal 2 2 2 2 2 2 25" xfId="484" xr:uid="{7094AE71-CCEE-4C76-9360-A66B0DB89BBA}"/>
    <cellStyle name="Normal 2 2 2 2 2 2 26" xfId="487" xr:uid="{042BC442-B91C-4F61-9271-8CC5FA20FE11}"/>
    <cellStyle name="Normal 2 2 2 2 2 2 27" xfId="489" xr:uid="{986B5E09-C2DA-4B18-8F4A-C5E100531145}"/>
    <cellStyle name="Normal 2 2 2 2 2 2 3" xfId="341" xr:uid="{A08E517D-037D-4788-9168-F0EA3FE0F073}"/>
    <cellStyle name="Normal 2 2 2 2 2 2 4" xfId="346" xr:uid="{4E24D740-AB15-4A3B-B819-B3CF79EDC4A5}"/>
    <cellStyle name="Normal 2 2 2 2 2 2 5" xfId="164" xr:uid="{277417D1-5EE6-43B5-B66D-F09D7610F273}"/>
    <cellStyle name="Normal 2 2 2 2 2 2 6" xfId="190" xr:uid="{46A06148-38FF-4211-BA04-1AD6E8085606}"/>
    <cellStyle name="Normal 2 2 2 2 2 2 7" xfId="195" xr:uid="{3D8C1BCE-CE65-46E5-8829-B0D593D3833D}"/>
    <cellStyle name="Normal 2 2 2 2 2 2 8" xfId="201" xr:uid="{8334B407-C5A0-4A54-ADD8-81BF7E9A8416}"/>
    <cellStyle name="Normal 2 2 2 2 2 2 9" xfId="206" xr:uid="{24B2C1CE-7031-480E-AE36-72D994FB70BE}"/>
    <cellStyle name="Normal 2 2 2 2 2 20" xfId="440" xr:uid="{36551083-FDC0-4B64-87A3-D363783754FE}"/>
    <cellStyle name="Normal 2 2 2 2 2 21" xfId="442" xr:uid="{317ED517-232E-47DD-810B-4F316CAC4F81}"/>
    <cellStyle name="Normal 2 2 2 2 2 22" xfId="444" xr:uid="{26D933D8-C0A1-4C01-9027-F8A5D2108C9D}"/>
    <cellStyle name="Normal 2 2 2 2 2 23" xfId="446" xr:uid="{CBBBCA44-9C9D-432A-AA03-D1A92475D95D}"/>
    <cellStyle name="Normal 2 2 2 2 2 24" xfId="448" xr:uid="{1FEF27AF-374C-424C-BEC4-6355240BC2F4}"/>
    <cellStyle name="Normal 2 2 2 2 2 25" xfId="491" xr:uid="{1D8410C9-6A50-4A55-91C9-E557FBA0B382}"/>
    <cellStyle name="Normal 2 2 2 2 2 26" xfId="31" xr:uid="{E4CF4065-FFFD-4841-BDFF-4556300EEF38}"/>
    <cellStyle name="Normal 2 2 2 2 2 27" xfId="50" xr:uid="{FD96557F-0459-4C40-B05D-E474F0471B47}"/>
    <cellStyle name="Normal 2 2 2 2 2 28" xfId="57" xr:uid="{BBBF729F-E71C-48C0-B4A1-7C5CFB0FC461}"/>
    <cellStyle name="Normal 2 2 2 2 2 29" xfId="59" xr:uid="{E65FF7E1-1151-4ADF-B56F-91321D08B398}"/>
    <cellStyle name="Normal 2 2 2 2 2 3" xfId="450" xr:uid="{CB470888-166A-4970-AC1E-AE120A445D03}"/>
    <cellStyle name="Normal 2 2 2 2 2 30" xfId="490" xr:uid="{DE0C165B-8FC2-4A8E-A2FE-7C40EA24E86C}"/>
    <cellStyle name="Normal 2 2 2 2 2 31" xfId="32" xr:uid="{75DF8F35-7F59-4BD8-B900-30E99B462BFF}"/>
    <cellStyle name="Normal 2 2 2 2 2 4" xfId="453" xr:uid="{53ABE7EF-6F93-496B-903C-FC8B208E13A2}"/>
    <cellStyle name="Normal 2 2 2 2 2 5" xfId="457" xr:uid="{E7A63AEA-F292-44AC-A100-5FACEDBC457B}"/>
    <cellStyle name="Normal 2 2 2 2 2 6" xfId="17" xr:uid="{ED6173FC-4C0B-4756-A70E-7817DDC01105}"/>
    <cellStyle name="Normal 2 2 2 2 2 7" xfId="12" xr:uid="{333A5379-8EB0-430E-B006-53C2C189099B}"/>
    <cellStyle name="Normal 2 2 2 2 2 7 10" xfId="492" xr:uid="{766606D0-A71F-488F-A91F-E2B4B5ED4648}"/>
    <cellStyle name="Normal 2 2 2 2 2 7 11" xfId="493" xr:uid="{067581D8-6EDB-4C8B-B6B9-C20BF9D5363F}"/>
    <cellStyle name="Normal 2 2 2 2 2 7 12" xfId="494" xr:uid="{C1ECEFCB-2D93-405A-89E5-0A5DFD7D7B4D}"/>
    <cellStyle name="Normal 2 2 2 2 2 7 13" xfId="495" xr:uid="{87C8B812-470B-4B5A-AF24-A36C48904977}"/>
    <cellStyle name="Normal 2 2 2 2 2 7 14" xfId="496" xr:uid="{3402B0ED-9005-4EF1-9D8A-C96A7B830253}"/>
    <cellStyle name="Normal 2 2 2 2 2 7 15" xfId="497" xr:uid="{B0D08DDF-533A-4B08-8B1F-2A5DDF8FAFA3}"/>
    <cellStyle name="Normal 2 2 2 2 2 7 16" xfId="498" xr:uid="{0FE0DEDE-96BA-40C0-ADCB-91A0CDCDFF72}"/>
    <cellStyle name="Normal 2 2 2 2 2 7 17" xfId="499" xr:uid="{FE0D67FA-4AAD-49D5-8163-448AAB4187AC}"/>
    <cellStyle name="Normal 2 2 2 2 2 7 18" xfId="34" xr:uid="{B1B69772-AEB5-4CCA-BEB5-BB0F3E2B633A}"/>
    <cellStyle name="Normal 2 2 2 2 2 7 2" xfId="301" xr:uid="{0280BAC8-36C0-49ED-A8F6-9E54305BCE53}"/>
    <cellStyle name="Normal 2 2 2 2 2 7 3" xfId="501" xr:uid="{C8B6BE99-0937-46AC-B26E-78DCB1DEBDD8}"/>
    <cellStyle name="Normal 2 2 2 2 2 7 4" xfId="503" xr:uid="{664EF5FB-FE16-40D6-8131-5E7740403009}"/>
    <cellStyle name="Normal 2 2 2 2 2 7 5" xfId="504" xr:uid="{6A32B175-28FA-482B-B2E3-45E0F6F4849D}"/>
    <cellStyle name="Normal 2 2 2 2 2 7 6" xfId="505" xr:uid="{FCB21DF4-E4FC-4EFD-B6E8-FD23DA4470B7}"/>
    <cellStyle name="Normal 2 2 2 2 2 7 7" xfId="506" xr:uid="{0A4F905D-90B8-412C-9FEB-1DB76A0A0ABC}"/>
    <cellStyle name="Normal 2 2 2 2 2 7 8" xfId="90" xr:uid="{E531018A-9762-41B6-85EE-69C97627CAA7}"/>
    <cellStyle name="Normal 2 2 2 2 2 7 9" xfId="507" xr:uid="{29B30163-B121-42E2-9D91-7178624230D4}"/>
    <cellStyle name="Normal 2 2 2 2 2 8" xfId="25" xr:uid="{D2BA1FB5-F52B-47DE-A015-EB23775DD0A7}"/>
    <cellStyle name="Normal 2 2 2 2 2 9" xfId="28" xr:uid="{178B06BA-FF56-4F8A-BADC-44FA19A13102}"/>
    <cellStyle name="Normal 2 2 2 2 2_AHMC - January 2014 Payroll Reports" xfId="64" xr:uid="{8714527D-9B77-4D25-B766-3ADB563065C6}"/>
    <cellStyle name="Normal 2 2 2 2 20" xfId="430" xr:uid="{0D8C40F4-F2A8-4762-AC10-9BF8D9DA746A}"/>
    <cellStyle name="Normal 2 2 2 2 21" xfId="432" xr:uid="{D5AF79D4-B8C2-46BF-82F8-0DC4B94B36BE}"/>
    <cellStyle name="Normal 2 2 2 2 22" xfId="434" xr:uid="{AADB1600-ED88-4476-B71E-D73FAB4464E9}"/>
    <cellStyle name="Normal 2 2 2 2 23" xfId="436" xr:uid="{E0B4CE3F-A870-4153-B7EF-75D4B3D4DD0C}"/>
    <cellStyle name="Normal 2 2 2 2 24" xfId="438" xr:uid="{2A70E467-11AB-41F5-AFDE-5EAA8BE7A7FD}"/>
    <cellStyle name="Normal 2 2 2 2 25" xfId="509" xr:uid="{ED88635F-BF6E-4F71-B58C-F94A40595F97}"/>
    <cellStyle name="Normal 2 2 2 2 26" xfId="511" xr:uid="{C999D1E5-81CB-46DC-A4BD-2420F729BF2E}"/>
    <cellStyle name="Normal 2 2 2 2 27" xfId="513" xr:uid="{3ACFED1C-8D63-4C94-B3D4-AF0BA3669C11}"/>
    <cellStyle name="Normal 2 2 2 2 28" xfId="514" xr:uid="{D8D0AC5F-0C02-4E85-8B05-4AC5D6562A4F}"/>
    <cellStyle name="Normal 2 2 2 2 29" xfId="114" xr:uid="{C8C3367F-ADA8-4372-949D-2D8F835B3823}"/>
    <cellStyle name="Normal 2 2 2 2 3" xfId="29" xr:uid="{E0AA9340-3269-4EA8-A8F9-F0ED2E2498C8}"/>
    <cellStyle name="Normal 2 2 2 2 3 10" xfId="347" xr:uid="{0B5E18AD-19AD-412C-B2A7-CAFE3C96A290}"/>
    <cellStyle name="Normal 2 2 2 2 3 11" xfId="165" xr:uid="{DDF14EA6-FDE8-4B26-8FA5-44B228110BA0}"/>
    <cellStyle name="Normal 2 2 2 2 3 12" xfId="191" xr:uid="{0A8E5305-3BEE-4C6A-9B9E-6EED76C522A2}"/>
    <cellStyle name="Normal 2 2 2 2 3 13" xfId="196" xr:uid="{6EF0BD26-BA2E-45B8-BCF1-B508EC620496}"/>
    <cellStyle name="Normal 2 2 2 2 3 14" xfId="202" xr:uid="{C59F0D04-FD15-4554-A887-221303700087}"/>
    <cellStyle name="Normal 2 2 2 2 3 15" xfId="207" xr:uid="{BC3E22B5-E1EF-4083-B5F6-FC83B1F0067F}"/>
    <cellStyle name="Normal 2 2 2 2 3 16" xfId="213" xr:uid="{F9FB7F05-063F-43CB-B1E2-B95A97B31975}"/>
    <cellStyle name="Normal 2 2 2 2 3 17" xfId="234" xr:uid="{00EC4F5C-1E35-41D5-B532-272E0AF3A2D0}"/>
    <cellStyle name="Normal 2 2 2 2 3 18" xfId="239" xr:uid="{BB2801F9-77F0-4935-BCDF-FFA12D660A6F}"/>
    <cellStyle name="Normal 2 2 2 2 3 19" xfId="245" xr:uid="{6B6B4D34-C900-4C6B-B7EC-D3FE22C6524D}"/>
    <cellStyle name="Normal 2 2 2 2 3 2" xfId="336" xr:uid="{C3E54B38-FE5A-4396-AF3B-A38A17A658F2}"/>
    <cellStyle name="Normal 2 2 2 2 3 2 10" xfId="515" xr:uid="{688DA385-8B6F-4E42-8B2B-E9B7BD902D2C}"/>
    <cellStyle name="Normal 2 2 2 2 3 2 11" xfId="517" xr:uid="{5C97A906-5A17-4F8F-9481-40928592A403}"/>
    <cellStyle name="Normal 2 2 2 2 3 2 12" xfId="98" xr:uid="{3A553B99-498A-48EE-B9A3-A5296511ED4B}"/>
    <cellStyle name="Normal 2 2 2 2 3 2 13" xfId="518" xr:uid="{C2843D3F-A0C6-4DD9-BC21-74622170182E}"/>
    <cellStyle name="Normal 2 2 2 2 3 2 14" xfId="519" xr:uid="{0B3663A0-4BB3-4787-BABA-6C7ECB298B08}"/>
    <cellStyle name="Normal 2 2 2 2 3 2 15" xfId="520" xr:uid="{7E000C8F-4F2E-4AE9-83D3-010D76BAED78}"/>
    <cellStyle name="Normal 2 2 2 2 3 2 16" xfId="382" xr:uid="{AC79D23A-D22B-4D17-B299-8D158C118695}"/>
    <cellStyle name="Normal 2 2 2 2 3 2 17" xfId="384" xr:uid="{35E03BFA-DA6E-4DF4-AA2E-2DDA0BA70B42}"/>
    <cellStyle name="Normal 2 2 2 2 3 2 18" xfId="47" xr:uid="{019BF329-9851-4EAD-B215-F2192C07236F}"/>
    <cellStyle name="Normal 2 2 2 2 3 2 2" xfId="422" xr:uid="{E94B7C32-4FBA-4E01-8C59-E68224534F94}"/>
    <cellStyle name="Normal 2 2 2 2 3 2 3" xfId="141" xr:uid="{3A063941-9613-40E0-836F-20BEB4866CB4}"/>
    <cellStyle name="Normal 2 2 2 2 3 2 4" xfId="424" xr:uid="{CB37709F-6FD4-42E0-8A60-EBA122651E25}"/>
    <cellStyle name="Normal 2 2 2 2 3 2 5" xfId="360" xr:uid="{CAF90851-68BA-4FED-940E-9E86FB234C82}"/>
    <cellStyle name="Normal 2 2 2 2 3 2 6" xfId="364" xr:uid="{650B367D-E28C-494B-9B64-E177848E1F64}"/>
    <cellStyle name="Normal 2 2 2 2 3 2 7" xfId="82" xr:uid="{EE008709-6A23-4BC7-8990-61F3E1664707}"/>
    <cellStyle name="Normal 2 2 2 2 3 2 8" xfId="170" xr:uid="{5A6F773D-2D2F-41F2-9BD6-B5F3FB94367A}"/>
    <cellStyle name="Normal 2 2 2 2 3 2 9" xfId="37" xr:uid="{7B439852-A4A9-4A75-96D0-6CAA309FAA9A}"/>
    <cellStyle name="Normal 2 2 2 2 3 2_AHMC - January 2014 Payroll Reports" xfId="521" xr:uid="{28FF6666-27D7-4654-B498-B80DFE9F32C6}"/>
    <cellStyle name="Normal 2 2 2 2 3 20" xfId="208" xr:uid="{AD08EE4E-1C34-488A-80AE-8F56626A912F}"/>
    <cellStyle name="Normal 2 2 2 2 3 21" xfId="214" xr:uid="{3587EA48-EBE7-4C8F-950E-A0B20F407CF6}"/>
    <cellStyle name="Normal 2 2 2 2 3 22" xfId="235" xr:uid="{80E605B7-F6D8-4637-860C-767B0318C443}"/>
    <cellStyle name="Normal 2 2 2 2 3 23" xfId="240" xr:uid="{604D6A0D-B6CB-467D-A659-C806AA195287}"/>
    <cellStyle name="Normal 2 2 2 2 3 24" xfId="246" xr:uid="{0CD1A2B5-4B45-456C-ADB4-747E0146588A}"/>
    <cellStyle name="Normal 2 2 2 2 3 25" xfId="249" xr:uid="{11C844E9-DB6E-47C8-91E1-5D095E25A259}"/>
    <cellStyle name="Normal 2 2 2 2 3 3" xfId="522" xr:uid="{C6220F93-071F-4529-974F-72F895C13349}"/>
    <cellStyle name="Normal 2 2 2 2 3 4" xfId="523" xr:uid="{3264B927-2D32-4336-B0BC-97757AA2990A}"/>
    <cellStyle name="Normal 2 2 2 2 3 5" xfId="524" xr:uid="{E2A93DB4-354A-4C80-9AF1-DAD3ACE086AC}"/>
    <cellStyle name="Normal 2 2 2 2 3 6" xfId="16" xr:uid="{8C407B63-0CFD-4A91-864B-023272CC1BA8}"/>
    <cellStyle name="Normal 2 2 2 2 3 7" xfId="186" xr:uid="{B0CA9F51-49A4-4F26-A90B-CDBEFAAD7FDA}"/>
    <cellStyle name="Normal 2 2 2 2 3 8" xfId="77" xr:uid="{06AD3EC3-68F2-49B8-896A-5AF087BF01CF}"/>
    <cellStyle name="Normal 2 2 2 2 3 9" xfId="373" xr:uid="{814246CA-5DAB-43F3-8298-61A1CC2D2291}"/>
    <cellStyle name="Normal 2 2 2 2 30" xfId="508" xr:uid="{FFD2964B-3DFA-4775-B009-A07DF82AC9DF}"/>
    <cellStyle name="Normal 2 2 2 2 31" xfId="510" xr:uid="{F5F4802D-39EA-4B37-917B-F2EB49C842C3}"/>
    <cellStyle name="Normal 2 2 2 2 32" xfId="512" xr:uid="{6AD36479-04D0-4E58-9963-77FF2846C278}"/>
    <cellStyle name="Normal 2 2 2 2 4" xfId="461" xr:uid="{7A173C03-A9A7-461F-9265-1A65AF0DEB97}"/>
    <cellStyle name="Normal 2 2 2 2 5" xfId="464" xr:uid="{60246D43-FC92-472A-8818-5CA7D3B7B5F1}"/>
    <cellStyle name="Normal 2 2 2 2 6" xfId="125" xr:uid="{0707516F-D030-417C-BBE6-E45B95C5BE1F}"/>
    <cellStyle name="Normal 2 2 2 2 7" xfId="483" xr:uid="{7D7300FE-3CCD-4B12-8767-1FD356394F16}"/>
    <cellStyle name="Normal 2 2 2 2 8" xfId="485" xr:uid="{38FE260E-8794-4F0B-91E7-CF14734B9224}"/>
    <cellStyle name="Normal 2 2 2 2 8 10" xfId="425" xr:uid="{EE4FB4F2-EAC3-4A2D-99F0-F4BBF392D456}"/>
    <cellStyle name="Normal 2 2 2 2 8 11" xfId="361" xr:uid="{6C7590B1-50BF-4B1B-9A3C-63343664270F}"/>
    <cellStyle name="Normal 2 2 2 2 8 12" xfId="365" xr:uid="{20A455A9-67BE-4DD6-AA2B-EDA1352EB1B0}"/>
    <cellStyle name="Normal 2 2 2 2 8 13" xfId="83" xr:uid="{1B13E5F1-8A9C-45E5-8979-8F64D48BD936}"/>
    <cellStyle name="Normal 2 2 2 2 8 14" xfId="171" xr:uid="{17A95847-7BB0-4F88-866D-1903D05463D6}"/>
    <cellStyle name="Normal 2 2 2 2 8 15" xfId="38" xr:uid="{8636D939-6184-4853-973E-56A66CD5D3ED}"/>
    <cellStyle name="Normal 2 2 2 2 8 16" xfId="177" xr:uid="{8F675EF8-8C49-4E00-93A5-578C544B8075}"/>
    <cellStyle name="Normal 2 2 2 2 8 17" xfId="182" xr:uid="{5B4F51C6-E7E2-4B3F-A5BB-26DF62DD26B0}"/>
    <cellStyle name="Normal 2 2 2 2 8 18" xfId="293" xr:uid="{570A376F-29C4-4799-B202-4BA80A1E2F86}"/>
    <cellStyle name="Normal 2 2 2 2 8 2" xfId="7" xr:uid="{9768E2A5-4476-488B-BB93-218E845268C7}"/>
    <cellStyle name="Normal 2 2 2 2 8 3" xfId="291" xr:uid="{1D0E889C-0932-44FE-AC78-887E1F85B4E0}"/>
    <cellStyle name="Normal 2 2 2 2 8 4" xfId="352" xr:uid="{650A982B-FDD2-4AAC-A893-4AD453FD5B23}"/>
    <cellStyle name="Normal 2 2 2 2 8 5" xfId="525" xr:uid="{722303B1-4C10-48F0-92B4-F7D00E508FF7}"/>
    <cellStyle name="Normal 2 2 2 2 8 6" xfId="388" xr:uid="{343BAB60-C49F-4903-99E7-375453B1F14E}"/>
    <cellStyle name="Normal 2 2 2 2 8 7" xfId="526" xr:uid="{82B1C03E-D567-42A1-9F6D-847E13AF1B62}"/>
    <cellStyle name="Normal 2 2 2 2 8 8" xfId="528" xr:uid="{CAADF602-9F96-4596-9304-2892DC3A1210}"/>
    <cellStyle name="Normal 2 2 2 2 8 9" xfId="530" xr:uid="{3BD2CFF8-E528-44D4-83AC-CF458781388D}"/>
    <cellStyle name="Normal 2 2 2 2 8_AHMC - January 2014 Payroll Reports" xfId="355" xr:uid="{E549E1F4-A3F7-43B9-BFDC-A18EABFB5243}"/>
    <cellStyle name="Normal 2 2 2 2 9" xfId="488" xr:uid="{46C92B47-21BE-49A5-AD0A-760A78D4BE90}"/>
    <cellStyle name="Normal 2 2 2 20" xfId="87" xr:uid="{FD13056B-6DFF-40A0-BB56-112C7D7ABBF9}"/>
    <cellStyle name="Normal 2 2 2 21" xfId="174" xr:uid="{174E6216-0988-4DDC-A703-4EFC96A91859}"/>
    <cellStyle name="Normal 2 2 2 22" xfId="40" xr:uid="{F8DDAE7F-4316-4B71-96A4-815329951323}"/>
    <cellStyle name="Normal 2 2 2 23" xfId="179" xr:uid="{7D5B47D8-E65B-436F-8593-1E4BA7DA1DB3}"/>
    <cellStyle name="Normal 2 2 2 24" xfId="184" xr:uid="{C06B3836-A448-46AE-A732-29916132E2E7}"/>
    <cellStyle name="Normal 2 2 2 25" xfId="294" xr:uid="{083B09D9-BB38-45DC-BAE1-BFD699C0F6D3}"/>
    <cellStyle name="Normal 2 2 2 26" xfId="297" xr:uid="{19D51D30-7D42-44BA-A251-76397E7867ED}"/>
    <cellStyle name="Normal 2 2 2 27" xfId="302" xr:uid="{4AD5E832-3CD8-4B40-83F8-967818E91895}"/>
    <cellStyle name="Normal 2 2 2 28" xfId="500" xr:uid="{27092A17-B6DB-4905-843E-4D55D6773F49}"/>
    <cellStyle name="Normal 2 2 2 29" xfId="502" xr:uid="{914B069F-D65C-4FFF-81F0-3FA21DFD0D7E}"/>
    <cellStyle name="Normal 2 2 2 3" xfId="60" xr:uid="{2834BBF3-9185-41E7-A959-A9243BB59182}"/>
    <cellStyle name="Normal 2 2 2 3 2" xfId="79" xr:uid="{3C54C8DA-9D8A-449D-81C0-4FBD708A0513}"/>
    <cellStyle name="Normal 2 2 2 3 3" xfId="375" xr:uid="{355D047E-2EAE-4DBE-8DF9-23F90DA6F9DE}"/>
    <cellStyle name="Normal 2 2 2 3 4" xfId="377" xr:uid="{2C09C88E-81DC-40DD-87F1-A9112E82AF80}"/>
    <cellStyle name="Normal 2 2 2 3 5" xfId="379" xr:uid="{CF0C7F53-2111-465F-BDDD-35B7ACD28923}"/>
    <cellStyle name="Normal 2 2 2 3 6" xfId="132" xr:uid="{CF766D35-562C-442C-A2C7-0B1315C42111}"/>
    <cellStyle name="Normal 2 2 2 30" xfId="295" xr:uid="{D6F18440-2270-4619-8030-C51814E1AD50}"/>
    <cellStyle name="Normal 2 2 2 31" xfId="298" xr:uid="{831D8147-15B1-41C1-A067-BEBC8979529C}"/>
    <cellStyle name="Normal 2 2 2 32" xfId="303" xr:uid="{65379FC8-17BC-44FF-86EC-5F7C58277FD6}"/>
    <cellStyle name="Normal 2 2 2 4" xfId="44" xr:uid="{4F94774A-5C8F-4312-B413-260A6445770A}"/>
    <cellStyle name="Normal 2 2 2 5" xfId="51" xr:uid="{3FBFF1AB-10E5-4160-B5FA-AB79CCB6AE2D}"/>
    <cellStyle name="Normal 2 2 2 6" xfId="531" xr:uid="{99D29ED7-1168-4E9D-9035-7D03CF6B0B93}"/>
    <cellStyle name="Normal 2 2 2 7" xfId="532" xr:uid="{76B3CC69-B6E9-4EE9-A1B6-CEE730AAAC55}"/>
    <cellStyle name="Normal 2 2 2 8" xfId="533" xr:uid="{15B4333C-A0E2-439E-A213-9AB8BDC00FA9}"/>
    <cellStyle name="Normal 2 2 2 8 10" xfId="312" xr:uid="{09A8D2EC-C7CC-4586-8CD6-59A8C51141A3}"/>
    <cellStyle name="Normal 2 2 2 8 11" xfId="314" xr:uid="{0493517D-45D1-4320-80D8-B0F5AB0FCF58}"/>
    <cellStyle name="Normal 2 2 2 8 12" xfId="392" xr:uid="{CCDD57A3-BBD1-4E29-AFED-42087FBC7641}"/>
    <cellStyle name="Normal 2 2 2 8 13" xfId="534" xr:uid="{C3E1FF59-6D26-49FA-A1D9-6EDCA321B819}"/>
    <cellStyle name="Normal 2 2 2 8 14" xfId="535" xr:uid="{56C3060B-C9F5-4ED9-867D-273810F30FB5}"/>
    <cellStyle name="Normal 2 2 2 8 15" xfId="70" xr:uid="{F6F09223-0D27-4C89-A7BE-38ACD8229120}"/>
    <cellStyle name="Normal 2 2 2 8 16" xfId="451" xr:uid="{721361D1-AF7F-4EE6-87B7-FC55568FCD40}"/>
    <cellStyle name="Normal 2 2 2 8 17" xfId="454" xr:uid="{DABEA394-662E-4BB9-BCE4-B5C35994B2B6}"/>
    <cellStyle name="Normal 2 2 2 8 18" xfId="458" xr:uid="{7278CAD4-94E6-4C6D-9765-6CD0E68BCD30}"/>
    <cellStyle name="Normal 2 2 2 8 2" xfId="527" xr:uid="{C270958A-A373-4B75-B2AD-AB8CD59087BC}"/>
    <cellStyle name="Normal 2 2 2 8 3" xfId="529" xr:uid="{49A7DB7A-518D-4FA0-BD10-7F406E2CC8D1}"/>
    <cellStyle name="Normal 2 2 2 8 4" xfId="14" xr:uid="{31B9B8FF-3C42-443B-97A3-B3736A83CFC2}"/>
    <cellStyle name="Normal 2 2 2 8 5" xfId="537" xr:uid="{20255151-D6D2-4329-905A-8C3DBC85D5B4}"/>
    <cellStyle name="Normal 2 2 2 8 6" xfId="108" xr:uid="{AD0D192F-77AB-4AD5-9728-2E8D7BC6BC2C}"/>
    <cellStyle name="Normal 2 2 2 8 7" xfId="538" xr:uid="{9E2E88C2-761A-4F94-91A9-67B119B321A7}"/>
    <cellStyle name="Normal 2 2 2 8 8" xfId="539" xr:uid="{0B1C66D7-F4A9-40D8-BAD4-D91B0D25441E}"/>
    <cellStyle name="Normal 2 2 2 8 9" xfId="367" xr:uid="{9BC38C68-1605-437D-8960-CF0178A2C2DA}"/>
    <cellStyle name="Normal 2 2 2 9" xfId="540" xr:uid="{9F4CEDFB-FB4E-4897-B52B-7CFF4876CBFB}"/>
    <cellStyle name="Normal 2 2 2_AHMC - January 2014 Payroll Reports" xfId="225" xr:uid="{557CFB70-8437-41FB-B5C7-FE03A422F6FE}"/>
    <cellStyle name="Normal 2 2 20" xfId="412" xr:uid="{90122804-79DF-4432-80C4-03AE5F609DF1}"/>
    <cellStyle name="Normal 2 2 21" xfId="414" xr:uid="{8A5D385D-5865-4945-9A1C-85A55AAAF6C6}"/>
    <cellStyle name="Normal 2 2 22" xfId="416" xr:uid="{809092D0-1DE9-4664-B6CB-864A08003EE2}"/>
    <cellStyle name="Normal 2 2 23" xfId="418" xr:uid="{EBC695A5-8EDB-4167-870D-7FB78DA50A2C}"/>
    <cellStyle name="Normal 2 2 24" xfId="71" xr:uid="{877637F6-B965-4FCD-95EF-F615C5A43B2E}"/>
    <cellStyle name="Normal 2 2 25" xfId="541" xr:uid="{DB29B22C-7149-4687-B97D-3B8AEEA4BF53}"/>
    <cellStyle name="Normal 2 2 26" xfId="543" xr:uid="{C412FB49-66DF-4B07-B1E0-1FAB17F52173}"/>
    <cellStyle name="Normal 2 2 26 2" xfId="545" xr:uid="{F45C673B-A398-46AB-AB26-AAFE96E59DE8}"/>
    <cellStyle name="Normal 2 2 26_AHMC - January 2014 Payroll Reports" xfId="546" xr:uid="{6F1FBB85-8720-4B55-9381-F8A28A77DDA7}"/>
    <cellStyle name="Normal 2 2 27" xfId="547" xr:uid="{0C497631-5972-49AA-BEA4-47DBF4CC09E2}"/>
    <cellStyle name="Normal 2 2 28" xfId="252" xr:uid="{FD7A4B20-76BA-49E2-90C0-894C23FA5416}"/>
    <cellStyle name="Normal 2 2 28 2" xfId="80" xr:uid="{46BEB535-BB2E-4CE4-957E-F8873EDD7396}"/>
    <cellStyle name="Normal 2 2 28_AHMC - January 2014 Payroll Reports" xfId="549" xr:uid="{388392F5-9799-46ED-9E2C-AFA3E7F498BB}"/>
    <cellStyle name="Normal 2 2 29" xfId="304" xr:uid="{7B239112-103C-49F7-A336-E43547011FA5}"/>
    <cellStyle name="Normal 2 2 3" xfId="269" xr:uid="{4F1A90F5-911F-4FD2-BB86-C1B77422D511}"/>
    <cellStyle name="Normal 2 2 30" xfId="542" xr:uid="{DC7CCEF4-1812-4CC4-B541-01B4D04CE663}"/>
    <cellStyle name="Normal 2 2 30 2" xfId="551" xr:uid="{0E7743C5-B3A3-43A9-B169-110BE936E6B9}"/>
    <cellStyle name="Normal 2 2 30_AHMC - January 2014 Payroll Reports" xfId="536" xr:uid="{DE571DE6-8F73-4E96-A496-D4B302166643}"/>
    <cellStyle name="Normal 2 2 31" xfId="544" xr:uid="{0790314C-7ED2-445C-93A3-F1871093EF63}"/>
    <cellStyle name="Normal 2 2 32" xfId="548" xr:uid="{E6807DAD-176E-43A7-9277-7DDDA607A73C}"/>
    <cellStyle name="Normal 2 2 33" xfId="251" xr:uid="{09B2C9CD-22BA-4AAB-8DCF-32A6691486E3}"/>
    <cellStyle name="Normal 2 2 4" xfId="127" xr:uid="{117DB15B-B913-48EF-988D-F63E5F2D9E2B}"/>
    <cellStyle name="Normal 2 2 4 2" xfId="555" xr:uid="{28EA40D0-11AB-4ED9-85F7-699A997602B0}"/>
    <cellStyle name="Normal 2 2 4 3" xfId="556" xr:uid="{928E0C12-4189-4557-BEB1-B176477DE795}"/>
    <cellStyle name="Normal 2 2 4 4" xfId="557" xr:uid="{A3EEC02E-15ED-4028-8F25-A1D152ACBBCB}"/>
    <cellStyle name="Normal 2 2 4 5" xfId="558" xr:uid="{D3FB7A54-CBD1-46BE-BBCC-4E8C927B9729}"/>
    <cellStyle name="Normal 2 2 4 6" xfId="559" xr:uid="{23801BCF-16B8-4D8B-8DB5-810CB99211BF}"/>
    <cellStyle name="Normal 2 2 4_AHMC - January 2014 Payroll Reports" xfId="199" xr:uid="{E65D6321-8A0B-48EE-A4F7-F2606212F67E}"/>
    <cellStyle name="Normal 2 2 5" xfId="272" xr:uid="{DA2DB6D7-9A60-45D6-B8EC-9E1D8FEB374E}"/>
    <cellStyle name="Normal 2 2 6" xfId="156" xr:uid="{8F8890A9-4B50-4960-B50A-EF6FCBC10102}"/>
    <cellStyle name="Normal 2 2 7" xfId="274" xr:uid="{DB4AF4FD-82CA-4B43-9AF9-960157814A68}"/>
    <cellStyle name="Normal 2 2 8" xfId="560" xr:uid="{CA7BC405-1041-491A-94A3-35FEB72F2A76}"/>
    <cellStyle name="Normal 2 2 9" xfId="95" xr:uid="{0DBB124C-FEC3-4553-9D77-3FBB0055A7C0}"/>
    <cellStyle name="Normal 2 2 9 10" xfId="561" xr:uid="{89CE8DF2-502C-402D-B602-FB922ACDCBEB}"/>
    <cellStyle name="Normal 2 2 9 11" xfId="562" xr:uid="{20D8F755-998D-435C-9BC0-561903885D48}"/>
    <cellStyle name="Normal 2 2 9 12" xfId="563" xr:uid="{FAFD91F9-DFAC-4D9E-B1D7-BD5B61912DC6}"/>
    <cellStyle name="Normal 2 2 9 13" xfId="565" xr:uid="{99BE62D2-DADC-49D6-91C8-EE8DA5A712B6}"/>
    <cellStyle name="Normal 2 2 9 14" xfId="566" xr:uid="{A6580A37-5D7D-4FDA-9809-E87B10DE4105}"/>
    <cellStyle name="Normal 2 2 9 15" xfId="567" xr:uid="{BAFEF3F7-51C5-498B-BC99-C00E33732F8D}"/>
    <cellStyle name="Normal 2 2 9 16" xfId="568" xr:uid="{6C490D05-CBCE-463B-AB07-ECF5573CFDEF}"/>
    <cellStyle name="Normal 2 2 9 17" xfId="569" xr:uid="{A251942C-AE5C-4FFD-8B37-F371F9723F88}"/>
    <cellStyle name="Normal 2 2 9 18" xfId="570" xr:uid="{93E6996E-198A-476C-9388-75F13D7EF775}"/>
    <cellStyle name="Normal 2 2 9 2" xfId="571" xr:uid="{B2F8E3A0-6BC8-4C88-923D-0BC1DA059108}"/>
    <cellStyle name="Normal 2 2 9 3" xfId="572" xr:uid="{42930CCD-4E70-48F1-9692-521A51797FE6}"/>
    <cellStyle name="Normal 2 2 9 4" xfId="385" xr:uid="{949D519D-5C0A-4F9A-B8C2-C052CD359045}"/>
    <cellStyle name="Normal 2 2 9 5" xfId="332" xr:uid="{89C69327-4C09-4D90-A07D-65D2C9BC7653}"/>
    <cellStyle name="Normal 2 2 9 6" xfId="573" xr:uid="{7F8CF472-DDFF-4DD5-B7F1-487E5EBBD264}"/>
    <cellStyle name="Normal 2 2 9 7" xfId="574" xr:uid="{263C3F8F-4CDA-4D14-83D1-BE03EFB99D2C}"/>
    <cellStyle name="Normal 2 2 9 8" xfId="575" xr:uid="{7917FFCE-D756-4E3B-8EC9-4FC56139D0FA}"/>
    <cellStyle name="Normal 2 2 9 9" xfId="404" xr:uid="{B09D0774-3615-44BA-ACF6-7511BBC82C7D}"/>
    <cellStyle name="Normal 2 2 9_AHMC - January 2014 Payroll Reports" xfId="150" xr:uid="{8DD15274-F4EF-4B3B-92C9-08273152BFFE}"/>
    <cellStyle name="Normal 2 2_AHMC - January 2014 Payroll Reports" xfId="576" xr:uid="{4D7500A6-025F-4D26-A280-762FC35A5424}"/>
    <cellStyle name="Normal 2 20" xfId="216" xr:uid="{5E28F1B0-CF2C-4DDC-8F5B-30889BFCE831}"/>
    <cellStyle name="Normal 2 21" xfId="219" xr:uid="{0AD7C8F7-251B-4558-B058-BFE575925A87}"/>
    <cellStyle name="Normal 2 22" xfId="222" xr:uid="{CCCC4471-4398-4113-A963-08707B0D5B89}"/>
    <cellStyle name="Normal 2 23" xfId="93" xr:uid="{5CC23B78-34CF-4A36-841F-0EB0D8623A91}"/>
    <cellStyle name="Normal 2 24" xfId="227" xr:uid="{EEECB284-F94E-41BC-B29C-AA6AD6DFA636}"/>
    <cellStyle name="Normal 2 25" xfId="577" xr:uid="{F34EAEC3-C4E6-45D0-A7C2-D4B8448B478B}"/>
    <cellStyle name="Normal 2 26" xfId="579" xr:uid="{F9B9486C-44C2-4E27-BD10-675F98339017}"/>
    <cellStyle name="Normal 2 27" xfId="582" xr:uid="{9757389E-AD48-43ED-AE27-75CB9C8A8341}"/>
    <cellStyle name="Normal 2 28" xfId="585" xr:uid="{3FC32C93-A0DD-4CAE-A5A0-32C1F7C04C4D}"/>
    <cellStyle name="Normal 2 29" xfId="552" xr:uid="{FB74FE21-E821-4B6F-ABA0-6C4962329D42}"/>
    <cellStyle name="Normal 2 3" xfId="588" xr:uid="{1AACCB45-A087-48D4-B841-9B6E8CC5CF24}"/>
    <cellStyle name="Normal 2 3 2" xfId="589" xr:uid="{77B144CA-8E0A-4B93-808F-7EE5FC99DED7}"/>
    <cellStyle name="Normal 2 3 3" xfId="276" xr:uid="{662A09D7-30DB-4A1B-96F3-CC50269012D2}"/>
    <cellStyle name="Normal 2 3 4" xfId="279" xr:uid="{85D784ED-62EF-445F-8ADD-BC759236A2F7}"/>
    <cellStyle name="Normal 2 3 5" xfId="281" xr:uid="{E2B3CC86-0729-4850-BB9F-9FFBFDAA7486}"/>
    <cellStyle name="Normal 2 3 6" xfId="590" xr:uid="{FD09B640-253A-4D8D-9B0F-1A2948A25555}"/>
    <cellStyle name="Normal 2 3_CLDH September 2015 Payroll Reports" xfId="592" xr:uid="{DC3E5283-D63E-4B13-AD45-E7E8F8B0F08B}"/>
    <cellStyle name="Normal 2 30" xfId="578" xr:uid="{AEAD0FB4-750A-4E77-A813-8434C31DF5E8}"/>
    <cellStyle name="Normal 2 31" xfId="580" xr:uid="{F1265947-FB73-4365-85E9-E00B12990470}"/>
    <cellStyle name="Normal 2 32" xfId="583" xr:uid="{F8B1A85F-7119-4D26-9600-216A9A051E17}"/>
    <cellStyle name="Normal 2 33" xfId="586" xr:uid="{AECDF273-5BAB-4596-A814-7701064542CD}"/>
    <cellStyle name="Normal 2 34" xfId="553" xr:uid="{DDCEAA24-3A20-4F61-B0E9-F165589C1A17}"/>
    <cellStyle name="Normal 2 35" xfId="593" xr:uid="{8DDC859D-2D2E-4155-91E2-E7B109AE638E}"/>
    <cellStyle name="Normal 2 36" xfId="596" xr:uid="{8D98E6DB-2943-4DAC-83F3-8774C4105BC9}"/>
    <cellStyle name="Normal 2 37" xfId="598" xr:uid="{7EAB3A68-57A8-4823-AC1B-ADACF1CF7F3C}"/>
    <cellStyle name="Normal 2 38" xfId="600" xr:uid="{90C0F825-6872-4611-9EFD-D2BEC20873E5}"/>
    <cellStyle name="Normal 2 39" xfId="602" xr:uid="{04BDB3B4-3D9A-4907-BBF8-6A7F393A32C0}"/>
    <cellStyle name="Normal 2 4" xfId="604" xr:uid="{3551D854-F2BA-4595-BE98-1EA1F54820A4}"/>
    <cellStyle name="Normal 2 4 2" xfId="356" xr:uid="{B7542A2D-3EC8-4D7E-8A4B-026E7EE0EB2D}"/>
    <cellStyle name="Normal 2 4 3" xfId="284" xr:uid="{95F8F001-6505-4359-A7B8-90D4BBA83EBA}"/>
    <cellStyle name="Normal 2 4 4" xfId="10" xr:uid="{7ABA4656-D6CC-4615-8DFE-EE1CB5FDA289}"/>
    <cellStyle name="Normal 2 4 5" xfId="287" xr:uid="{18780BD0-8B95-4881-B23A-53FB2CABB4BC}"/>
    <cellStyle name="Normal 2 4 6" xfId="353" xr:uid="{48C859E4-15BC-49F5-8C4C-F678EE253FB8}"/>
    <cellStyle name="Normal 2 4_CLDH September 2015 Payroll Reports" xfId="99" xr:uid="{49ECD4A1-D074-4B18-9528-2068EDCE2D50}"/>
    <cellStyle name="Normal 2 40" xfId="594" xr:uid="{06F0F760-A18D-4079-84B7-7A94F690DBDE}"/>
    <cellStyle name="Normal 2 41" xfId="597" xr:uid="{379FFDD5-5049-4EFF-B53B-2C46D7D181A2}"/>
    <cellStyle name="Normal 2 42" xfId="599" xr:uid="{76EBBB79-CB7C-4EC9-9DAA-170C9A6538CF}"/>
    <cellStyle name="Normal 2 43" xfId="601" xr:uid="{286A1B50-0A19-4512-AB37-E62D8DF00F2F}"/>
    <cellStyle name="Normal 2 44" xfId="603" xr:uid="{838B0323-93D5-4656-A1DA-3D8BDBC7331A}"/>
    <cellStyle name="Normal 2 45" xfId="605" xr:uid="{AAF34304-EBF6-42EA-8DAE-8C5E181699D0}"/>
    <cellStyle name="Normal 2 46" xfId="606" xr:uid="{50D84D76-960C-4E58-B0C1-A0CB5FC79C1F}"/>
    <cellStyle name="Normal 2 5" xfId="607" xr:uid="{7BA616EF-FD75-48DC-8AC0-67B9B4E687FC}"/>
    <cellStyle name="Normal 2 5 2" xfId="608" xr:uid="{284EC13A-9F74-4993-B3A3-C9B7ADC35A97}"/>
    <cellStyle name="Normal 2 5 3" xfId="610" xr:uid="{1E5A35F6-A20D-4494-954A-8EAA99CAD52E}"/>
    <cellStyle name="Normal 2 5 4" xfId="611" xr:uid="{BEC1024E-0590-4357-92F5-801CDE079996}"/>
    <cellStyle name="Normal 2 5 5" xfId="612" xr:uid="{7CC97552-9E8F-4724-A815-9437A8D8239A}"/>
    <cellStyle name="Normal 2 5 6" xfId="614" xr:uid="{0D150739-200D-4993-9DD2-45A8FDF18206}"/>
    <cellStyle name="Normal 2 5_CLDH September 2015 Payroll Reports" xfId="615" xr:uid="{928D3F96-58FF-4655-AABB-613737B1CBDB}"/>
    <cellStyle name="Normal 2 6" xfId="616" xr:uid="{DC48832A-A633-4105-9261-72EF88A048D0}"/>
    <cellStyle name="Normal 2 6 2" xfId="617" xr:uid="{B9F4D416-C8AE-470B-9456-A9487D031AAD}"/>
    <cellStyle name="Normal 2 6 3" xfId="618" xr:uid="{9F216793-984D-4BA4-81CD-AA5111E711D4}"/>
    <cellStyle name="Normal 2 6 4" xfId="619" xr:uid="{ECF254F5-D300-485F-8DB6-7149DD51AF08}"/>
    <cellStyle name="Normal 2 6 5" xfId="620" xr:uid="{CE96D369-7815-45A5-B0D9-B5AE3313F4DA}"/>
    <cellStyle name="Normal 2 6 6" xfId="621" xr:uid="{A7458313-3044-4F7B-B83D-AD08C71B1C8D}"/>
    <cellStyle name="Normal 2 6_AHMC - January 2014 Payroll Reports" xfId="564" xr:uid="{9773F81C-B3AB-43F7-9731-D4419664C3B4}"/>
    <cellStyle name="Normal 2 7" xfId="622" xr:uid="{A7439440-A40B-4D53-A00D-5ABE62156AAC}"/>
    <cellStyle name="Normal 2 8" xfId="623" xr:uid="{5E5B50AC-537A-4E6B-B2A8-F22621411B07}"/>
    <cellStyle name="Normal 2 8 2" xfId="624" xr:uid="{3A0DC5FA-6547-4550-B00C-594A4B7EB79B}"/>
    <cellStyle name="Normal 2 8 3" xfId="626" xr:uid="{0B821FBB-7468-42A9-94EF-EBACA20CA88D}"/>
    <cellStyle name="Normal 2 8 4" xfId="627" xr:uid="{9BE408E5-66D7-49E8-BC6D-6BF72B5694A7}"/>
    <cellStyle name="Normal 2 9" xfId="628" xr:uid="{E9F2DCCF-09AF-45FA-9457-B0BB28EEC4F4}"/>
    <cellStyle name="Normal 2_AHMC - January 2014 Payroll Reports" xfId="629" xr:uid="{ED81852C-91F9-4D63-8E55-2443D7A7D08A}"/>
    <cellStyle name="Normal 20" xfId="398" xr:uid="{FC8FA297-3835-4D7F-BCEB-76EADBC7B0A5}"/>
    <cellStyle name="Normal 21" xfId="339" xr:uid="{0FF852B0-D52F-4CB3-AAFA-61EF854CF884}"/>
    <cellStyle name="Normal 22" xfId="343" xr:uid="{53C21C88-6AA8-4ED5-8A45-5E95A50656C5}"/>
    <cellStyle name="Normal 23" xfId="161" xr:uid="{0D64CE62-87A0-4692-8941-014C82EEE130}"/>
    <cellStyle name="Normal 24" xfId="187" xr:uid="{6A2F22FD-ECEE-432A-A7D4-D95BC3BA1566}"/>
    <cellStyle name="Normal 25" xfId="193" xr:uid="{DC3ACA5D-BBE5-4C58-968A-10BA155FDF81}"/>
    <cellStyle name="Normal 25 2" xfId="630" xr:uid="{325163E2-F43F-4423-842F-19FCE049B8B6}"/>
    <cellStyle name="Normal 25 3" xfId="631" xr:uid="{72FACE30-E365-456A-B59B-CEF25EF5CAD5}"/>
    <cellStyle name="Normal 25 4" xfId="632" xr:uid="{21E57A9D-6CE2-4684-94E0-006F3042ED4D}"/>
    <cellStyle name="Normal 25 5" xfId="633" xr:uid="{FC280C58-5573-4E18-9AF6-F9ED9BEA07CF}"/>
    <cellStyle name="Normal 26" xfId="198" xr:uid="{9899976B-3D2B-4A17-9358-785B540942D8}"/>
    <cellStyle name="Normal 27" xfId="204" xr:uid="{963754B5-74E6-4C56-BA7D-137B1B5EF632}"/>
    <cellStyle name="Normal 28" xfId="210" xr:uid="{0D875F40-6F23-4886-B68C-CFFD07566BB1}"/>
    <cellStyle name="Normal 29" xfId="231" xr:uid="{7CEC2EE5-3DE0-4E61-A2A9-76960C2102A8}"/>
    <cellStyle name="Normal 3" xfId="591" xr:uid="{0DB7501E-3444-400D-B373-25F65FFAF457}"/>
    <cellStyle name="Normal 3 2" xfId="634" xr:uid="{36C4FE07-63FF-49DE-BCEA-B9B6645C653A}"/>
    <cellStyle name="Normal 3 2 2" xfId="635" xr:uid="{A581E583-3F2B-4E5C-9D69-C47B581EE320}"/>
    <cellStyle name="Normal 3 2 3" xfId="636" xr:uid="{ACAAEC2F-9EBB-4AD1-B4DD-AFEF73430183}"/>
    <cellStyle name="Normal 3 2_CLDH September 2015 Payroll Reports" xfId="625" xr:uid="{89D12148-1CB6-4909-9A6C-1B6EC9EB5881}"/>
    <cellStyle name="Normal 3 3" xfId="550" xr:uid="{0799CA1A-145E-4134-A809-0EFAE0C69AA9}"/>
    <cellStyle name="Normal 3 3 2" xfId="326" xr:uid="{5B294752-A7F9-4020-A39B-6BB31EE1C397}"/>
    <cellStyle name="Normal 3 3 3" xfId="328" xr:uid="{9D3F636B-0693-40F5-8459-019F7281684D}"/>
    <cellStyle name="Normal 3 3 4" xfId="637" xr:uid="{035C716F-8A2C-475B-ACA2-10B85F00B8E6}"/>
    <cellStyle name="Normal 3 3 5" xfId="48" xr:uid="{771F9D3F-2D6F-478B-B400-EABF6927F69E}"/>
    <cellStyle name="Normal 3 4" xfId="638" xr:uid="{6FCEC898-6C37-45CF-BAD5-B75EA2CA316B}"/>
    <cellStyle name="Normal 3 5" xfId="669" xr:uid="{B2118469-9DB1-4082-8DBC-BDE46E3F6A60}"/>
    <cellStyle name="Normal 30" xfId="192" xr:uid="{063B32DB-C7CC-4F5D-914B-3989C866F0E4}"/>
    <cellStyle name="Normal 31" xfId="197" xr:uid="{1AB56BF5-81BA-4794-8942-D75434768F51}"/>
    <cellStyle name="Normal 32" xfId="203" xr:uid="{CD2A0EEE-BD73-42DA-B6FA-608F7CDEE381}"/>
    <cellStyle name="Normal 33" xfId="209" xr:uid="{86BEF2DA-7647-40C8-8BE6-A92A346EC4A6}"/>
    <cellStyle name="Normal 34" xfId="230" xr:uid="{66075E40-4694-42E4-8940-E2F37AE29C90}"/>
    <cellStyle name="Normal 35" xfId="668" xr:uid="{264101B9-796A-4547-BE94-FC7A4BF578CF}"/>
    <cellStyle name="Normal 36" xfId="243" xr:uid="{6EADB963-6667-48D1-AC4C-A326BF4F8F53}"/>
    <cellStyle name="Normal 37" xfId="670" xr:uid="{39C29C51-88E9-4297-A7A1-25C9018BE002}"/>
    <cellStyle name="Normal 38" xfId="639" xr:uid="{2AA5F48A-228F-425B-83AD-CA792EA0C14A}"/>
    <cellStyle name="Normal 39" xfId="135" xr:uid="{623124F1-0527-4A60-A2FB-F388479CF2B8}"/>
    <cellStyle name="Normal 4" xfId="640" xr:uid="{A8385108-291E-41AA-8B5D-38CA61CCB4BC}"/>
    <cellStyle name="Normal 4 2" xfId="671" xr:uid="{6BF18C99-FBCA-4443-922A-D7590578DA02}"/>
    <cellStyle name="Normal 40" xfId="674" xr:uid="{B8C73626-5F18-4DA3-846A-DCFA140998E0}"/>
    <cellStyle name="Normal 41" xfId="242" xr:uid="{C5834CA0-0B97-40FE-8B2E-81281313A7DD}"/>
    <cellStyle name="Normal 42" xfId="247" xr:uid="{9B8D708C-25AE-436C-A284-E1A24E013A67}"/>
    <cellStyle name="Normal 43" xfId="4" xr:uid="{44D71ECE-8159-4F8D-8A6B-FE24AF86EF11}"/>
    <cellStyle name="Normal 44" xfId="676" xr:uid="{6B2A9393-B986-412E-BFD9-693C43EA9F44}"/>
    <cellStyle name="Normal 45" xfId="681" xr:uid="{903810AE-036A-4D70-B98C-777436E4457E}"/>
    <cellStyle name="Normal 46" xfId="682" xr:uid="{94E05497-1000-4B86-AAD0-6250D9E38BB6}"/>
    <cellStyle name="Normal 47" xfId="683" xr:uid="{83D8BB15-F54C-44DD-861F-DAF9390059C9}"/>
    <cellStyle name="Normal 5" xfId="641" xr:uid="{A4D6AE9F-FA00-42BD-99E9-02B3A910AAE3}"/>
    <cellStyle name="Normal 5 2" xfId="455" xr:uid="{A521F621-095B-4694-9042-BC0953833059}"/>
    <cellStyle name="Normal 5 3" xfId="20" xr:uid="{1C204EEA-8073-491B-9DD5-F27BCDA1BD52}"/>
    <cellStyle name="Normal 5_AHMC - Annualized Tax January 2015" xfId="642" xr:uid="{AD55B967-26C8-4E12-9FF3-2DA5F7586E2E}"/>
    <cellStyle name="Normal 6" xfId="643" xr:uid="{6B665BB1-F8BF-493D-AF1D-AEA628BE01F4}"/>
    <cellStyle name="Normal 7" xfId="644" xr:uid="{35352F4E-177D-4F2C-A46E-F652E124ADA0}"/>
    <cellStyle name="Normal 7 2" xfId="11" xr:uid="{AB242089-B054-4FD9-A9A2-776545926A96}"/>
    <cellStyle name="Normal 7 2 2" xfId="286" xr:uid="{1156F70B-CB5D-49D1-B1E5-FC98B0AED72C}"/>
    <cellStyle name="Normal 7 3" xfId="516" xr:uid="{B5107129-DE64-4B9F-93BF-8888BADAAE46}"/>
    <cellStyle name="Normal 7 3 2" xfId="613" xr:uid="{0BDF511F-1DBB-4780-A4CE-5F67737265B8}"/>
    <cellStyle name="Normal 7_MPTC - Final Pay Viray, T. (V2)" xfId="609" xr:uid="{7D9FF1BD-730C-4BD0-9F23-0153B3764326}"/>
    <cellStyle name="Normal 8" xfId="645" xr:uid="{B5174486-61A8-4535-B9F9-57EC62619CFD}"/>
    <cellStyle name="Normal 8 2" xfId="646" xr:uid="{BFB6D4D5-6F42-46A8-A8A0-0C6DC510EA6A}"/>
    <cellStyle name="Normal 9" xfId="647" xr:uid="{2394CB91-ECFD-47BC-BECF-9BE2B8747DC5}"/>
    <cellStyle name="Normal 9 2" xfId="648" xr:uid="{C080DB09-D213-4C44-AB26-4A495395EEAF}"/>
    <cellStyle name="Normal 9 3" xfId="649" xr:uid="{388A114E-A2AA-4A6A-9169-5FAF66D4145C}"/>
    <cellStyle name="Normal 9 3 2" xfId="581" xr:uid="{19470467-666E-449D-BB66-161EA3926A80}"/>
    <cellStyle name="Normal 9 3 3" xfId="584" xr:uid="{9F9AF84C-74AC-41AA-BEB4-4861236B8DBE}"/>
    <cellStyle name="Normal 9 3 4" xfId="587" xr:uid="{DC6F54DD-6E72-489A-804F-DF9C6C69A466}"/>
    <cellStyle name="Normal 9 3 5" xfId="554" xr:uid="{E9FC5F1F-5CD7-46BE-9F88-076595EABFD0}"/>
    <cellStyle name="Normal 9 3 6" xfId="595" xr:uid="{0E5C485E-CA26-44C7-887B-927F1FCD41BE}"/>
    <cellStyle name="Note 2" xfId="650" xr:uid="{969B7325-AE75-49B7-9E03-F634AE0BCF7E}"/>
    <cellStyle name="Note 3" xfId="651" xr:uid="{C63821C9-E081-43E3-9ED9-BD9933C29FCC}"/>
    <cellStyle name="Output 2" xfId="652" xr:uid="{F31DCED7-70A4-4C92-B58F-1CE3FC9896D2}"/>
    <cellStyle name="Percent [2]" xfId="653" xr:uid="{1AF69558-E0CE-4008-B30B-6BFF1B77693D}"/>
    <cellStyle name="Percent 2" xfId="654" xr:uid="{14F29C23-B0B2-415E-B534-DAEB1E29EC06}"/>
    <cellStyle name="Percent 2 2" xfId="486" xr:uid="{9C1D576B-9C1B-4CAF-8A51-56A642FFB320}"/>
    <cellStyle name="Percent 2 2 2" xfId="8" xr:uid="{1D608656-6147-4EE8-9512-A3B86ECABBB0}"/>
    <cellStyle name="Percent 2 2 3" xfId="290" xr:uid="{C69748C8-8510-4892-ABEB-0F4FE93402A6}"/>
    <cellStyle name="Percent 2 2 4" xfId="350" xr:uid="{9D8DF5CF-C197-4FB9-8317-85C39EB6CE5E}"/>
    <cellStyle name="Percent 3" xfId="119" xr:uid="{37F7456B-A812-4EF8-A884-979A07749689}"/>
    <cellStyle name="Percent 3 2" xfId="655" xr:uid="{7F95B928-154D-4097-A785-DAFE884D14DE}"/>
    <cellStyle name="Percent 3 2 2" xfId="656" xr:uid="{20841738-0733-427B-B373-1976B82EB8B9}"/>
    <cellStyle name="Percent 3 2 3" xfId="657" xr:uid="{87807521-0AFD-4148-8590-6EC17EBEBDEE}"/>
    <cellStyle name="Percent 3 3" xfId="658" xr:uid="{C26C7261-181E-4080-A2A2-8E567CE5D018}"/>
    <cellStyle name="Percent 3 4" xfId="659" xr:uid="{9205858A-5EEA-4EE2-AA29-C3B13BAFE1CD}"/>
    <cellStyle name="Percent 4" xfId="660" xr:uid="{33A4E46A-6E5E-4F57-97F2-C141ACC6787E}"/>
    <cellStyle name="Percent 4 2" xfId="45" xr:uid="{2BEA39AB-99AA-4FA0-BDCA-DE8F86450048}"/>
    <cellStyle name="Percent 4 3" xfId="53" xr:uid="{C7508383-37CB-4EE2-B393-170E2706C67D}"/>
    <cellStyle name="Percent 5" xfId="142" xr:uid="{DF6B38FA-6B90-499E-81DC-8798CFEFCA82}"/>
    <cellStyle name="Percent 6" xfId="661" xr:uid="{1F86E4A3-23F1-4875-A7EB-F8AB6423D367}"/>
    <cellStyle name="Percent 6 2" xfId="662" xr:uid="{6F145FC5-95FD-4487-8268-C4468A13A1F7}"/>
    <cellStyle name="Percent 6 3" xfId="75" xr:uid="{F9E51EE2-976E-4479-AB94-B3862EF43582}"/>
    <cellStyle name="Percent 7" xfId="663" xr:uid="{CC82BD83-4F4C-4F5A-9403-730D1248382B}"/>
    <cellStyle name="Percent 8" xfId="664" xr:uid="{6F06204D-D6B4-4A53-A46A-C9B910BBBCF3}"/>
    <cellStyle name="Percent 9" xfId="665" xr:uid="{7B1D9871-3F1B-4E9B-9724-66A12543230E}"/>
    <cellStyle name="Title 2" xfId="52" xr:uid="{27028988-6F84-44CB-8C12-E1A11FFDB473}"/>
    <cellStyle name="Total 2" xfId="666" xr:uid="{F8553152-03EB-4284-9F2F-A5E6BE779FD8}"/>
    <cellStyle name="Warning Text 2" xfId="667" xr:uid="{268874C6-7327-4200-BD5E-8C9A1616467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_pasia\AppData\Local\Microsoft\Windows\INetCache\Content.Outlook\O439VPTL\THE%20LAGUNA%20CREAMERY%20INC.xlsx" TargetMode="External"/><Relationship Id="rId1" Type="http://schemas.openxmlformats.org/officeDocument/2006/relationships/externalLinkPath" Target="file:///C:\Users\jr_pasia\AppData\Local\Microsoft\Windows\INetCache\Content.Outlook\O439VPTL\THE%20LAGUNA%20CREAMERY%20IN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">
          <cell r="K8">
            <v>4293.75</v>
          </cell>
        </row>
        <row r="58">
          <cell r="K58">
            <v>8849.42</v>
          </cell>
        </row>
        <row r="59">
          <cell r="K59">
            <v>3453.23</v>
          </cell>
        </row>
        <row r="61">
          <cell r="K61">
            <v>225929.87000000005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44A1-1907-48E8-B5DC-08F8D79AD4F9}">
  <sheetPr>
    <pageSetUpPr fitToPage="1"/>
  </sheetPr>
  <dimension ref="A3:M86"/>
  <sheetViews>
    <sheetView tabSelected="1" zoomScale="61" zoomScaleNormal="64" workbookViewId="0">
      <pane xSplit="1" ySplit="5" topLeftCell="B58" activePane="bottomRight" state="frozen"/>
      <selection pane="topRight" activeCell="B1" sqref="B1"/>
      <selection pane="bottomLeft" activeCell="A6" sqref="A6"/>
      <selection pane="bottomRight" activeCell="I67" sqref="I67"/>
    </sheetView>
  </sheetViews>
  <sheetFormatPr defaultRowHeight="14.5"/>
  <cols>
    <col min="1" max="1" width="34.54296875" style="1" customWidth="1"/>
    <col min="2" max="2" width="13.90625" style="4" customWidth="1"/>
    <col min="3" max="3" width="14" customWidth="1"/>
    <col min="4" max="4" width="34.54296875" style="4" customWidth="1"/>
    <col min="5" max="5" width="13.90625" style="4" customWidth="1"/>
    <col min="6" max="6" width="13.08984375" customWidth="1"/>
    <col min="7" max="7" width="19.90625" customWidth="1"/>
    <col min="8" max="8" width="35.453125" customWidth="1"/>
    <col min="9" max="9" width="22.54296875" customWidth="1"/>
    <col min="10" max="10" width="18.6328125" customWidth="1"/>
    <col min="11" max="11" width="18.6328125" style="31" customWidth="1"/>
    <col min="12" max="12" width="51.26953125" customWidth="1"/>
    <col min="13" max="13" width="10.36328125" bestFit="1" customWidth="1"/>
  </cols>
  <sheetData>
    <row r="3" spans="1:12">
      <c r="A3" s="2" t="s">
        <v>65</v>
      </c>
      <c r="D3" s="2" t="s">
        <v>66</v>
      </c>
    </row>
    <row r="4" spans="1:12" ht="15" thickBot="1">
      <c r="B4" s="5"/>
      <c r="E4" s="5"/>
    </row>
    <row r="5" spans="1:12" ht="29.5" thickBot="1">
      <c r="A5" s="3" t="s">
        <v>0</v>
      </c>
      <c r="B5" s="9" t="s">
        <v>1</v>
      </c>
      <c r="D5" s="6" t="s">
        <v>0</v>
      </c>
      <c r="E5" s="15" t="s">
        <v>1</v>
      </c>
      <c r="F5" s="14" t="s">
        <v>23</v>
      </c>
      <c r="G5" s="10"/>
      <c r="H5" s="67" t="s">
        <v>2</v>
      </c>
      <c r="I5" s="67" t="s">
        <v>3</v>
      </c>
      <c r="J5" s="68" t="s">
        <v>38</v>
      </c>
      <c r="K5" s="69" t="s">
        <v>48</v>
      </c>
      <c r="L5" s="69" t="s">
        <v>25</v>
      </c>
    </row>
    <row r="6" spans="1:12">
      <c r="A6" s="26" t="s">
        <v>4</v>
      </c>
      <c r="B6" s="27">
        <v>2081.42</v>
      </c>
      <c r="D6" s="26" t="s">
        <v>4</v>
      </c>
      <c r="E6" s="27">
        <v>2081.42</v>
      </c>
      <c r="F6" s="17"/>
      <c r="G6" s="13"/>
      <c r="H6" s="99">
        <f>E6+B6</f>
        <v>4162.84</v>
      </c>
      <c r="I6" s="64">
        <f>H6-F6</f>
        <v>4162.84</v>
      </c>
      <c r="J6" s="65">
        <f>H6-I6</f>
        <v>0</v>
      </c>
      <c r="K6" s="66"/>
      <c r="L6" s="64"/>
    </row>
    <row r="7" spans="1:12">
      <c r="A7" s="26" t="s">
        <v>56</v>
      </c>
      <c r="B7" s="27">
        <v>1724.36</v>
      </c>
      <c r="D7" s="26" t="s">
        <v>56</v>
      </c>
      <c r="E7" s="27">
        <v>1724.36</v>
      </c>
      <c r="F7" s="17"/>
      <c r="G7" s="13"/>
      <c r="H7" s="97">
        <f>B7+E7</f>
        <v>3448.72</v>
      </c>
      <c r="I7" s="8">
        <f t="shared" ref="I7:I55" si="0">H7-F7</f>
        <v>3448.72</v>
      </c>
      <c r="J7" s="17">
        <f>F7</f>
        <v>0</v>
      </c>
      <c r="K7" s="33"/>
      <c r="L7" s="19"/>
    </row>
    <row r="8" spans="1:12">
      <c r="A8" s="26" t="s">
        <v>39</v>
      </c>
      <c r="B8" s="27">
        <v>1717.6</v>
      </c>
      <c r="D8" s="26" t="s">
        <v>39</v>
      </c>
      <c r="E8" s="27">
        <v>1717.6</v>
      </c>
      <c r="F8" s="17"/>
      <c r="G8" s="13"/>
      <c r="H8" s="97">
        <f>B8+E8</f>
        <v>3435.2</v>
      </c>
      <c r="I8" s="8">
        <f t="shared" si="0"/>
        <v>3435.2</v>
      </c>
      <c r="J8" s="17">
        <f>F8</f>
        <v>0</v>
      </c>
      <c r="K8" s="33"/>
      <c r="L8" s="19"/>
    </row>
    <row r="9" spans="1:12">
      <c r="A9" s="26" t="s">
        <v>63</v>
      </c>
      <c r="B9" s="27">
        <v>1974.14</v>
      </c>
      <c r="D9" s="26" t="s">
        <v>63</v>
      </c>
      <c r="E9" s="27">
        <v>1974.14</v>
      </c>
      <c r="F9" s="17"/>
      <c r="G9" s="13"/>
      <c r="H9" s="97">
        <f>B9+E9</f>
        <v>3948.28</v>
      </c>
      <c r="I9" s="19">
        <v>3948.27</v>
      </c>
      <c r="J9" s="17">
        <f>F9</f>
        <v>0</v>
      </c>
      <c r="K9" s="33"/>
      <c r="L9" s="16"/>
    </row>
    <row r="10" spans="1:12">
      <c r="A10" s="26" t="s">
        <v>5</v>
      </c>
      <c r="B10" s="27">
        <v>1505.94</v>
      </c>
      <c r="D10" s="26" t="s">
        <v>5</v>
      </c>
      <c r="E10" s="27">
        <v>1505.94</v>
      </c>
      <c r="F10" s="16"/>
      <c r="G10" s="13"/>
      <c r="H10" s="98">
        <f>E10+B10</f>
        <v>3011.88</v>
      </c>
      <c r="I10" s="8">
        <f>H10-F10</f>
        <v>3011.88</v>
      </c>
      <c r="J10" s="12">
        <f>H10-I10</f>
        <v>0</v>
      </c>
      <c r="K10" s="32"/>
      <c r="L10" s="8"/>
    </row>
    <row r="11" spans="1:12">
      <c r="A11" s="26" t="s">
        <v>6</v>
      </c>
      <c r="B11" s="27">
        <v>1958.16</v>
      </c>
      <c r="D11" s="26" t="s">
        <v>6</v>
      </c>
      <c r="E11" s="27">
        <v>1958.16</v>
      </c>
      <c r="F11" s="17"/>
      <c r="G11" s="13"/>
      <c r="H11" s="98">
        <f t="shared" ref="H11:H26" si="1">E11+B11</f>
        <v>3916.32</v>
      </c>
      <c r="I11" s="8">
        <f t="shared" si="0"/>
        <v>3916.32</v>
      </c>
      <c r="J11" s="12">
        <f t="shared" ref="J11:J55" si="2">H11-I11</f>
        <v>0</v>
      </c>
      <c r="K11" s="32"/>
      <c r="L11" s="8"/>
    </row>
    <row r="12" spans="1:12">
      <c r="A12" s="26" t="s">
        <v>57</v>
      </c>
      <c r="B12" s="27">
        <v>1822.91</v>
      </c>
      <c r="D12" s="26" t="s">
        <v>57</v>
      </c>
      <c r="E12" s="27">
        <v>1822.91</v>
      </c>
      <c r="F12" s="17"/>
      <c r="G12" s="13"/>
      <c r="H12" s="98">
        <f t="shared" si="1"/>
        <v>3645.82</v>
      </c>
      <c r="I12" s="8">
        <f t="shared" si="0"/>
        <v>3645.82</v>
      </c>
      <c r="J12" s="12">
        <f t="shared" si="2"/>
        <v>0</v>
      </c>
      <c r="K12" s="32"/>
      <c r="L12" s="8"/>
    </row>
    <row r="13" spans="1:12">
      <c r="A13" s="26" t="s">
        <v>47</v>
      </c>
      <c r="B13" s="27">
        <v>1578.97</v>
      </c>
      <c r="D13" s="26" t="s">
        <v>47</v>
      </c>
      <c r="E13" s="27">
        <v>1578.97</v>
      </c>
      <c r="F13" s="17"/>
      <c r="G13" s="13"/>
      <c r="H13" s="98">
        <f t="shared" si="1"/>
        <v>3157.94</v>
      </c>
      <c r="I13" s="8">
        <f t="shared" si="0"/>
        <v>3157.94</v>
      </c>
      <c r="J13" s="12">
        <f t="shared" si="2"/>
        <v>0</v>
      </c>
      <c r="K13" s="34"/>
      <c r="L13" s="11"/>
    </row>
    <row r="14" spans="1:12">
      <c r="A14" s="26" t="s">
        <v>27</v>
      </c>
      <c r="B14" s="27">
        <v>1266.31</v>
      </c>
      <c r="D14" s="26" t="s">
        <v>27</v>
      </c>
      <c r="E14" s="27">
        <v>1266.31</v>
      </c>
      <c r="F14" s="17"/>
      <c r="G14" s="13"/>
      <c r="H14" s="97">
        <f>E14+B14</f>
        <v>2532.62</v>
      </c>
      <c r="I14" s="8">
        <f t="shared" si="0"/>
        <v>2532.62</v>
      </c>
      <c r="J14" s="17">
        <v>0</v>
      </c>
      <c r="K14" s="23"/>
      <c r="L14" s="16"/>
    </row>
    <row r="15" spans="1:12">
      <c r="A15" s="26" t="s">
        <v>7</v>
      </c>
      <c r="B15" s="27">
        <v>6348.02</v>
      </c>
      <c r="D15" s="26" t="s">
        <v>7</v>
      </c>
      <c r="E15" s="27">
        <v>6348.02</v>
      </c>
      <c r="F15" s="17"/>
      <c r="G15" s="13"/>
      <c r="H15" s="98">
        <f t="shared" si="1"/>
        <v>12696.04</v>
      </c>
      <c r="I15" s="8">
        <f t="shared" si="0"/>
        <v>12696.04</v>
      </c>
      <c r="J15" s="12">
        <f t="shared" si="2"/>
        <v>0</v>
      </c>
      <c r="K15" s="34"/>
      <c r="L15" s="11"/>
    </row>
    <row r="16" spans="1:12">
      <c r="A16" s="26" t="s">
        <v>34</v>
      </c>
      <c r="B16" s="27">
        <v>1569.74</v>
      </c>
      <c r="D16" s="26" t="s">
        <v>34</v>
      </c>
      <c r="E16" s="27">
        <v>1569.74</v>
      </c>
      <c r="F16" s="17"/>
      <c r="G16" s="13"/>
      <c r="H16" s="98">
        <f t="shared" si="1"/>
        <v>3139.48</v>
      </c>
      <c r="I16" s="8">
        <f t="shared" si="0"/>
        <v>3139.48</v>
      </c>
      <c r="J16" s="12">
        <f t="shared" si="2"/>
        <v>0</v>
      </c>
      <c r="K16" s="34"/>
      <c r="L16" s="11"/>
    </row>
    <row r="17" spans="1:12">
      <c r="A17" s="26" t="s">
        <v>8</v>
      </c>
      <c r="B17" s="27">
        <v>1724.36</v>
      </c>
      <c r="D17" s="26" t="s">
        <v>8</v>
      </c>
      <c r="E17" s="27">
        <v>1724.36</v>
      </c>
      <c r="F17" s="17"/>
      <c r="G17" s="13"/>
      <c r="H17" s="98">
        <f t="shared" si="1"/>
        <v>3448.72</v>
      </c>
      <c r="I17" s="8">
        <f t="shared" si="0"/>
        <v>3448.72</v>
      </c>
      <c r="J17" s="12">
        <f t="shared" si="2"/>
        <v>0</v>
      </c>
      <c r="K17" s="34"/>
      <c r="L17" s="11"/>
    </row>
    <row r="18" spans="1:12">
      <c r="A18" s="26" t="s">
        <v>40</v>
      </c>
      <c r="B18" s="27">
        <v>1473.56</v>
      </c>
      <c r="D18" s="26" t="s">
        <v>40</v>
      </c>
      <c r="E18" s="27">
        <v>1473.56</v>
      </c>
      <c r="F18" s="17"/>
      <c r="G18" s="13"/>
      <c r="H18" s="98">
        <f t="shared" si="1"/>
        <v>2947.12</v>
      </c>
      <c r="I18" s="8">
        <f t="shared" si="0"/>
        <v>2947.12</v>
      </c>
      <c r="J18" s="12">
        <f t="shared" si="2"/>
        <v>0</v>
      </c>
      <c r="K18" s="34"/>
      <c r="L18" s="11"/>
    </row>
    <row r="19" spans="1:12">
      <c r="A19" s="26" t="s">
        <v>9</v>
      </c>
      <c r="B19" s="27">
        <v>1134.06</v>
      </c>
      <c r="D19" s="26" t="s">
        <v>9</v>
      </c>
      <c r="E19" s="27">
        <v>1134.06</v>
      </c>
      <c r="F19" s="17"/>
      <c r="G19" s="13"/>
      <c r="H19" s="98">
        <f t="shared" si="1"/>
        <v>2268.12</v>
      </c>
      <c r="I19" s="8">
        <f t="shared" si="0"/>
        <v>2268.12</v>
      </c>
      <c r="J19" s="12">
        <f t="shared" si="2"/>
        <v>0</v>
      </c>
      <c r="K19" s="34"/>
      <c r="L19" s="11"/>
    </row>
    <row r="20" spans="1:12">
      <c r="A20" s="26" t="s">
        <v>67</v>
      </c>
      <c r="B20" s="27">
        <v>2442.96</v>
      </c>
      <c r="D20" s="26" t="s">
        <v>67</v>
      </c>
      <c r="E20" s="27">
        <v>2442.96</v>
      </c>
      <c r="F20" s="17"/>
      <c r="G20" s="13"/>
      <c r="H20" s="98">
        <f t="shared" si="1"/>
        <v>4885.92</v>
      </c>
      <c r="I20" s="8">
        <f t="shared" si="0"/>
        <v>4885.92</v>
      </c>
      <c r="J20" s="12">
        <f t="shared" si="2"/>
        <v>0</v>
      </c>
      <c r="K20" s="34"/>
      <c r="L20" s="11"/>
    </row>
    <row r="21" spans="1:12">
      <c r="A21" s="26" t="s">
        <v>28</v>
      </c>
      <c r="B21" s="27">
        <v>1712.67</v>
      </c>
      <c r="D21" s="26" t="s">
        <v>28</v>
      </c>
      <c r="E21" s="27">
        <v>1712.67</v>
      </c>
      <c r="F21" s="17"/>
      <c r="G21" s="13"/>
      <c r="H21" s="98">
        <f t="shared" si="1"/>
        <v>3425.34</v>
      </c>
      <c r="I21" s="8">
        <f>H21-F21</f>
        <v>3425.34</v>
      </c>
      <c r="J21" s="12">
        <f t="shared" si="2"/>
        <v>0</v>
      </c>
      <c r="K21" s="34"/>
      <c r="L21" s="11"/>
    </row>
    <row r="22" spans="1:12">
      <c r="A22" s="26" t="s">
        <v>22</v>
      </c>
      <c r="B22" s="27">
        <v>3129.1</v>
      </c>
      <c r="D22" s="26" t="s">
        <v>22</v>
      </c>
      <c r="E22" s="27">
        <v>3129.1</v>
      </c>
      <c r="F22" s="17"/>
      <c r="G22" s="13"/>
      <c r="H22" s="98">
        <f t="shared" si="1"/>
        <v>6258.2</v>
      </c>
      <c r="I22" s="8">
        <f t="shared" si="0"/>
        <v>6258.2</v>
      </c>
      <c r="J22" s="17">
        <f>F22</f>
        <v>0</v>
      </c>
      <c r="K22" s="35"/>
      <c r="L22" s="19"/>
    </row>
    <row r="23" spans="1:12">
      <c r="A23" s="26" t="s">
        <v>35</v>
      </c>
      <c r="B23" s="27">
        <v>1569.74</v>
      </c>
      <c r="D23" s="26" t="s">
        <v>35</v>
      </c>
      <c r="E23" s="27">
        <v>1569.74</v>
      </c>
      <c r="F23" s="17"/>
      <c r="G23" s="13"/>
      <c r="H23" s="98">
        <f t="shared" si="1"/>
        <v>3139.48</v>
      </c>
      <c r="I23" s="8">
        <f t="shared" si="0"/>
        <v>3139.48</v>
      </c>
      <c r="J23" s="12">
        <f t="shared" si="2"/>
        <v>0</v>
      </c>
      <c r="K23" s="34"/>
      <c r="L23" s="11"/>
    </row>
    <row r="24" spans="1:12">
      <c r="A24" s="26" t="s">
        <v>10</v>
      </c>
      <c r="B24" s="27">
        <v>1222.31</v>
      </c>
      <c r="D24" s="26" t="s">
        <v>10</v>
      </c>
      <c r="E24" s="27">
        <v>1222.31</v>
      </c>
      <c r="F24" s="17"/>
      <c r="G24" s="13"/>
      <c r="H24" s="98">
        <f t="shared" si="1"/>
        <v>2444.62</v>
      </c>
      <c r="I24" s="8">
        <f t="shared" si="0"/>
        <v>2444.62</v>
      </c>
      <c r="J24" s="12">
        <f t="shared" si="2"/>
        <v>0</v>
      </c>
      <c r="K24" s="34"/>
      <c r="L24" s="11"/>
    </row>
    <row r="25" spans="1:12">
      <c r="A25" s="26" t="s">
        <v>41</v>
      </c>
      <c r="B25" s="27">
        <v>1718.35</v>
      </c>
      <c r="D25" s="26" t="s">
        <v>41</v>
      </c>
      <c r="E25" s="27">
        <v>1718.35</v>
      </c>
      <c r="F25" s="20"/>
      <c r="G25" s="13"/>
      <c r="H25" s="98">
        <f t="shared" si="1"/>
        <v>3436.7</v>
      </c>
      <c r="I25" s="8">
        <f t="shared" si="0"/>
        <v>3436.7</v>
      </c>
      <c r="J25" s="12">
        <f t="shared" si="2"/>
        <v>0</v>
      </c>
      <c r="K25" s="34"/>
      <c r="L25" s="11"/>
    </row>
    <row r="26" spans="1:12">
      <c r="A26" s="26" t="s">
        <v>58</v>
      </c>
      <c r="B26" s="27">
        <v>5050.21</v>
      </c>
      <c r="D26" s="26" t="s">
        <v>58</v>
      </c>
      <c r="E26" s="27">
        <v>5050.21</v>
      </c>
      <c r="F26" s="20"/>
      <c r="G26" s="13"/>
      <c r="H26" s="98">
        <f t="shared" si="1"/>
        <v>10100.42</v>
      </c>
      <c r="I26" s="8">
        <f t="shared" si="0"/>
        <v>10100.42</v>
      </c>
      <c r="J26" s="12">
        <f t="shared" si="2"/>
        <v>0</v>
      </c>
      <c r="K26" s="34"/>
      <c r="L26" s="11"/>
    </row>
    <row r="27" spans="1:12">
      <c r="A27" s="26" t="s">
        <v>11</v>
      </c>
      <c r="B27" s="27">
        <v>1190.06</v>
      </c>
      <c r="D27" s="26" t="s">
        <v>11</v>
      </c>
      <c r="E27" s="27">
        <v>1190.06</v>
      </c>
      <c r="F27" s="27"/>
      <c r="G27" s="13"/>
      <c r="H27" s="98">
        <f t="shared" ref="H27" si="3">E27+B27</f>
        <v>2380.12</v>
      </c>
      <c r="I27" s="8">
        <f t="shared" ref="I27" si="4">H27-F27</f>
        <v>2380.12</v>
      </c>
      <c r="J27" s="17">
        <f>F27</f>
        <v>0</v>
      </c>
      <c r="K27" s="35"/>
      <c r="L27" s="19"/>
    </row>
    <row r="28" spans="1:12">
      <c r="A28" s="26" t="s">
        <v>12</v>
      </c>
      <c r="B28" s="27">
        <v>1619.55</v>
      </c>
      <c r="D28" s="26" t="s">
        <v>12</v>
      </c>
      <c r="E28" s="27">
        <v>1619.55</v>
      </c>
      <c r="F28" s="20"/>
      <c r="G28" s="13"/>
      <c r="H28" s="98">
        <f t="shared" ref="H28:H52" si="5">E28+B28</f>
        <v>3239.1</v>
      </c>
      <c r="I28" s="8">
        <f t="shared" si="0"/>
        <v>3239.1</v>
      </c>
      <c r="J28" s="12">
        <f t="shared" si="2"/>
        <v>0</v>
      </c>
      <c r="K28" s="34"/>
      <c r="L28" s="11"/>
    </row>
    <row r="29" spans="1:12">
      <c r="A29" s="26" t="s">
        <v>42</v>
      </c>
      <c r="B29" s="27">
        <v>1227.93</v>
      </c>
      <c r="D29" s="26" t="s">
        <v>42</v>
      </c>
      <c r="E29" s="27">
        <v>1227.93</v>
      </c>
      <c r="F29" s="20"/>
      <c r="G29" s="13"/>
      <c r="H29" s="98">
        <f t="shared" si="5"/>
        <v>2455.86</v>
      </c>
      <c r="I29" s="8">
        <f t="shared" si="0"/>
        <v>2455.86</v>
      </c>
      <c r="J29" s="17">
        <f>F29</f>
        <v>0</v>
      </c>
      <c r="K29" s="35"/>
      <c r="L29" s="19"/>
    </row>
    <row r="30" spans="1:12">
      <c r="A30" s="26" t="s">
        <v>13</v>
      </c>
      <c r="B30" s="27">
        <v>2297.9499999999998</v>
      </c>
      <c r="D30" s="26" t="s">
        <v>13</v>
      </c>
      <c r="E30" s="27">
        <v>2297.9499999999998</v>
      </c>
      <c r="F30" s="20"/>
      <c r="G30" s="13"/>
      <c r="H30" s="98">
        <f t="shared" si="5"/>
        <v>4595.8999999999996</v>
      </c>
      <c r="I30" s="8">
        <f t="shared" si="0"/>
        <v>4595.8999999999996</v>
      </c>
      <c r="J30" s="12">
        <f t="shared" si="2"/>
        <v>0</v>
      </c>
      <c r="K30" s="32"/>
      <c r="L30" s="8"/>
    </row>
    <row r="31" spans="1:12">
      <c r="A31" s="26" t="s">
        <v>14</v>
      </c>
      <c r="B31" s="27">
        <v>2958.7</v>
      </c>
      <c r="D31" s="26" t="s">
        <v>14</v>
      </c>
      <c r="E31" s="27">
        <v>2958.7</v>
      </c>
      <c r="F31" s="20"/>
      <c r="G31" s="13"/>
      <c r="H31" s="98">
        <f t="shared" si="5"/>
        <v>5917.4</v>
      </c>
      <c r="I31" s="8">
        <f t="shared" si="0"/>
        <v>5917.4</v>
      </c>
      <c r="J31" s="12">
        <f t="shared" si="2"/>
        <v>0</v>
      </c>
      <c r="K31" s="34"/>
      <c r="L31" s="11"/>
    </row>
    <row r="32" spans="1:12">
      <c r="A32" s="26" t="s">
        <v>15</v>
      </c>
      <c r="B32" s="27">
        <v>2155.79</v>
      </c>
      <c r="D32" s="26" t="s">
        <v>15</v>
      </c>
      <c r="E32" s="27">
        <v>2155.79</v>
      </c>
      <c r="F32" s="20"/>
      <c r="G32" s="13"/>
      <c r="H32" s="98">
        <f t="shared" si="5"/>
        <v>4311.58</v>
      </c>
      <c r="I32" s="8">
        <f t="shared" si="0"/>
        <v>4311.58</v>
      </c>
      <c r="J32" s="12">
        <v>0</v>
      </c>
      <c r="K32" s="36"/>
      <c r="L32" s="11"/>
    </row>
    <row r="33" spans="1:12">
      <c r="A33" s="26" t="s">
        <v>61</v>
      </c>
      <c r="B33" s="27">
        <v>1275.93</v>
      </c>
      <c r="D33" s="26" t="s">
        <v>61</v>
      </c>
      <c r="E33" s="27">
        <v>1275.93</v>
      </c>
      <c r="F33" s="20"/>
      <c r="G33" s="13"/>
      <c r="H33" s="98">
        <f t="shared" si="5"/>
        <v>2551.86</v>
      </c>
      <c r="I33" s="8">
        <f t="shared" si="0"/>
        <v>2551.86</v>
      </c>
      <c r="J33" s="12">
        <f t="shared" si="2"/>
        <v>0</v>
      </c>
      <c r="K33" s="34"/>
      <c r="L33" s="11"/>
    </row>
    <row r="34" spans="1:12">
      <c r="A34" s="26" t="s">
        <v>59</v>
      </c>
      <c r="B34" s="27">
        <v>1964.68</v>
      </c>
      <c r="D34" s="26" t="s">
        <v>59</v>
      </c>
      <c r="E34" s="27">
        <v>1964.68</v>
      </c>
      <c r="F34" s="20"/>
      <c r="G34" s="13"/>
      <c r="H34" s="98">
        <f t="shared" si="5"/>
        <v>3929.36</v>
      </c>
      <c r="I34" s="8">
        <f t="shared" si="0"/>
        <v>3929.36</v>
      </c>
      <c r="J34" s="12"/>
      <c r="K34" s="32"/>
      <c r="L34" s="11"/>
    </row>
    <row r="35" spans="1:12">
      <c r="A35" s="26" t="s">
        <v>36</v>
      </c>
      <c r="B35" s="27">
        <v>1713.4</v>
      </c>
      <c r="D35" s="26" t="s">
        <v>36</v>
      </c>
      <c r="E35" s="27">
        <v>1713.4</v>
      </c>
      <c r="F35" s="20"/>
      <c r="G35" s="13"/>
      <c r="H35" s="98">
        <f t="shared" si="5"/>
        <v>3426.8</v>
      </c>
      <c r="I35" s="8">
        <f t="shared" si="0"/>
        <v>3426.8</v>
      </c>
      <c r="J35" s="12">
        <f t="shared" si="2"/>
        <v>0</v>
      </c>
      <c r="K35" s="34"/>
      <c r="L35" s="11"/>
    </row>
    <row r="36" spans="1:12">
      <c r="A36" s="26" t="s">
        <v>68</v>
      </c>
      <c r="B36" s="27">
        <v>3682.17</v>
      </c>
      <c r="D36" s="26" t="s">
        <v>68</v>
      </c>
      <c r="E36" s="27">
        <v>3682.17</v>
      </c>
      <c r="F36" s="20"/>
      <c r="G36" s="13"/>
      <c r="H36" s="98">
        <f t="shared" ref="H36:H38" si="6">E36+B36</f>
        <v>7364.34</v>
      </c>
      <c r="I36" s="8">
        <f t="shared" si="0"/>
        <v>7364.34</v>
      </c>
      <c r="J36" s="12">
        <v>0</v>
      </c>
      <c r="K36" s="82"/>
      <c r="L36" s="16"/>
    </row>
    <row r="37" spans="1:12">
      <c r="A37" s="26" t="s">
        <v>55</v>
      </c>
      <c r="B37" s="27">
        <v>1735.99</v>
      </c>
      <c r="D37" s="26" t="s">
        <v>55</v>
      </c>
      <c r="E37" s="27">
        <v>1735.99</v>
      </c>
      <c r="F37" s="20"/>
      <c r="G37" s="13"/>
      <c r="H37" s="98">
        <f t="shared" si="6"/>
        <v>3471.98</v>
      </c>
      <c r="I37" s="8">
        <f t="shared" ref="I37:I38" si="7">H37-F37</f>
        <v>3471.98</v>
      </c>
      <c r="J37" s="12">
        <f t="shared" si="2"/>
        <v>0</v>
      </c>
      <c r="K37" s="35"/>
      <c r="L37" s="16"/>
    </row>
    <row r="38" spans="1:12">
      <c r="A38" s="26" t="s">
        <v>16</v>
      </c>
      <c r="B38" s="27">
        <v>1235.45</v>
      </c>
      <c r="D38" s="26" t="s">
        <v>16</v>
      </c>
      <c r="E38" s="27">
        <v>1235.45</v>
      </c>
      <c r="F38" s="20"/>
      <c r="G38" s="13"/>
      <c r="H38" s="98">
        <f t="shared" si="6"/>
        <v>2470.9</v>
      </c>
      <c r="I38" s="8">
        <f t="shared" si="7"/>
        <v>2470.9</v>
      </c>
      <c r="J38" s="17"/>
      <c r="K38" s="35"/>
      <c r="L38" s="16"/>
    </row>
    <row r="39" spans="1:12">
      <c r="A39" s="26" t="s">
        <v>26</v>
      </c>
      <c r="B39" s="27">
        <v>3483.59</v>
      </c>
      <c r="D39" s="26" t="s">
        <v>26</v>
      </c>
      <c r="E39" s="27">
        <v>3483.59</v>
      </c>
      <c r="F39" s="20"/>
      <c r="G39" s="13"/>
      <c r="H39" s="98">
        <f t="shared" si="5"/>
        <v>6967.18</v>
      </c>
      <c r="I39" s="8">
        <f t="shared" si="0"/>
        <v>6967.18</v>
      </c>
      <c r="J39" s="12">
        <f t="shared" si="2"/>
        <v>0</v>
      </c>
      <c r="K39" s="35"/>
      <c r="L39" s="16"/>
    </row>
    <row r="40" spans="1:12">
      <c r="A40" s="26" t="s">
        <v>17</v>
      </c>
      <c r="B40" s="27">
        <v>977.44</v>
      </c>
      <c r="D40" s="26" t="s">
        <v>17</v>
      </c>
      <c r="E40" s="27">
        <v>977.44</v>
      </c>
      <c r="F40" s="20"/>
      <c r="G40" s="13"/>
      <c r="H40" s="98">
        <f t="shared" si="5"/>
        <v>1954.88</v>
      </c>
      <c r="I40" s="8">
        <f t="shared" si="0"/>
        <v>1954.88</v>
      </c>
      <c r="J40" s="17">
        <f t="shared" si="2"/>
        <v>0</v>
      </c>
      <c r="K40" s="35"/>
      <c r="L40" s="16"/>
    </row>
    <row r="41" spans="1:12">
      <c r="A41" s="26" t="s">
        <v>43</v>
      </c>
      <c r="B41" s="27">
        <v>3200.4</v>
      </c>
      <c r="D41" s="26" t="s">
        <v>43</v>
      </c>
      <c r="E41" s="27">
        <v>3200.4</v>
      </c>
      <c r="F41" s="20"/>
      <c r="G41" s="13"/>
      <c r="H41" s="98">
        <f t="shared" si="5"/>
        <v>6400.8</v>
      </c>
      <c r="I41" s="8">
        <f t="shared" si="0"/>
        <v>6400.8</v>
      </c>
      <c r="J41" s="17">
        <f>H41-I41</f>
        <v>0</v>
      </c>
      <c r="K41" s="35"/>
      <c r="L41" s="16"/>
    </row>
    <row r="42" spans="1:12">
      <c r="A42" s="26" t="s">
        <v>29</v>
      </c>
      <c r="B42" s="27">
        <v>2708</v>
      </c>
      <c r="D42" s="26" t="s">
        <v>29</v>
      </c>
      <c r="E42" s="27">
        <v>2708</v>
      </c>
      <c r="F42" s="20"/>
      <c r="G42" s="13"/>
      <c r="H42" s="98">
        <f t="shared" si="5"/>
        <v>5416</v>
      </c>
      <c r="I42" s="8">
        <f t="shared" si="0"/>
        <v>5416</v>
      </c>
      <c r="J42" s="17"/>
      <c r="K42" s="33"/>
      <c r="L42" s="16"/>
    </row>
    <row r="43" spans="1:12">
      <c r="A43" s="26" t="s">
        <v>64</v>
      </c>
      <c r="B43" s="27">
        <v>3478.37</v>
      </c>
      <c r="D43" s="26" t="s">
        <v>64</v>
      </c>
      <c r="E43" s="27">
        <v>3478.37</v>
      </c>
      <c r="F43" s="20"/>
      <c r="G43" s="13"/>
      <c r="H43" s="98">
        <f t="shared" si="5"/>
        <v>6956.74</v>
      </c>
      <c r="I43" s="8">
        <f t="shared" si="0"/>
        <v>6956.74</v>
      </c>
      <c r="J43" s="17">
        <f>H43-I43</f>
        <v>0</v>
      </c>
      <c r="K43" s="34"/>
      <c r="L43" s="11"/>
    </row>
    <row r="44" spans="1:12">
      <c r="A44" s="26" t="s">
        <v>69</v>
      </c>
      <c r="B44" s="27">
        <v>2093.87</v>
      </c>
      <c r="D44" s="26" t="s">
        <v>69</v>
      </c>
      <c r="E44" s="27">
        <v>2093.87</v>
      </c>
      <c r="F44" s="8"/>
      <c r="G44" s="13"/>
      <c r="H44" s="98">
        <f t="shared" si="5"/>
        <v>4187.74</v>
      </c>
      <c r="I44" s="8">
        <f>H44-F44</f>
        <v>4187.74</v>
      </c>
      <c r="J44" s="8">
        <f>F44</f>
        <v>0</v>
      </c>
      <c r="K44" s="34"/>
      <c r="L44" s="11"/>
    </row>
    <row r="45" spans="1:12">
      <c r="A45" s="26" t="s">
        <v>30</v>
      </c>
      <c r="B45" s="27">
        <v>2722.15</v>
      </c>
      <c r="D45" s="26" t="s">
        <v>30</v>
      </c>
      <c r="E45" s="27">
        <v>2722.15</v>
      </c>
      <c r="F45" s="20"/>
      <c r="G45" s="13"/>
      <c r="H45" s="98">
        <f t="shared" si="5"/>
        <v>5444.3</v>
      </c>
      <c r="I45" s="8">
        <f t="shared" si="0"/>
        <v>5444.3</v>
      </c>
      <c r="J45" s="17">
        <f t="shared" si="2"/>
        <v>0</v>
      </c>
      <c r="K45" s="34"/>
      <c r="L45" s="11"/>
    </row>
    <row r="46" spans="1:12">
      <c r="A46" s="26" t="s">
        <v>18</v>
      </c>
      <c r="B46" s="27">
        <v>1864.82</v>
      </c>
      <c r="D46" s="26" t="s">
        <v>18</v>
      </c>
      <c r="E46" s="27">
        <v>1864.82</v>
      </c>
      <c r="F46" s="17"/>
      <c r="G46" s="13"/>
      <c r="H46" s="98">
        <f t="shared" si="5"/>
        <v>3729.64</v>
      </c>
      <c r="I46" s="8">
        <f t="shared" si="0"/>
        <v>3729.64</v>
      </c>
      <c r="J46" s="17">
        <f t="shared" si="2"/>
        <v>0</v>
      </c>
      <c r="K46" s="34"/>
      <c r="L46" s="11"/>
    </row>
    <row r="47" spans="1:12">
      <c r="A47" s="26" t="s">
        <v>31</v>
      </c>
      <c r="B47" s="27">
        <v>1461.13</v>
      </c>
      <c r="D47" s="26" t="s">
        <v>31</v>
      </c>
      <c r="E47" s="27">
        <v>1461.13</v>
      </c>
      <c r="F47" s="17"/>
      <c r="G47" s="13"/>
      <c r="H47" s="98">
        <f t="shared" si="5"/>
        <v>2922.26</v>
      </c>
      <c r="I47" s="8">
        <f t="shared" si="0"/>
        <v>2922.26</v>
      </c>
      <c r="J47" s="17">
        <f t="shared" si="2"/>
        <v>0</v>
      </c>
      <c r="K47" s="34"/>
      <c r="L47" s="11"/>
    </row>
    <row r="48" spans="1:12">
      <c r="A48" s="26" t="s">
        <v>70</v>
      </c>
      <c r="B48" s="27">
        <v>2450.48</v>
      </c>
      <c r="D48" s="26" t="s">
        <v>70</v>
      </c>
      <c r="E48" s="27">
        <v>2450.48</v>
      </c>
      <c r="F48" s="17"/>
      <c r="G48" s="13"/>
      <c r="H48" s="98">
        <f t="shared" si="5"/>
        <v>4900.96</v>
      </c>
      <c r="I48" s="8">
        <f t="shared" si="0"/>
        <v>4900.96</v>
      </c>
      <c r="J48" s="17">
        <f t="shared" si="2"/>
        <v>0</v>
      </c>
      <c r="K48" s="34"/>
      <c r="L48" s="11"/>
    </row>
    <row r="49" spans="1:13">
      <c r="A49" s="26" t="s">
        <v>32</v>
      </c>
      <c r="B49" s="27">
        <v>1571.07</v>
      </c>
      <c r="D49" s="26" t="s">
        <v>32</v>
      </c>
      <c r="E49" s="27">
        <v>1571.07</v>
      </c>
      <c r="F49" s="17"/>
      <c r="G49" s="13"/>
      <c r="H49" s="98">
        <f t="shared" si="5"/>
        <v>3142.14</v>
      </c>
      <c r="I49" s="8">
        <f t="shared" si="0"/>
        <v>3142.14</v>
      </c>
      <c r="J49" s="17">
        <f t="shared" si="2"/>
        <v>0</v>
      </c>
      <c r="K49" s="34"/>
      <c r="L49" s="11"/>
    </row>
    <row r="50" spans="1:13">
      <c r="A50" s="26" t="s">
        <v>19</v>
      </c>
      <c r="B50" s="27">
        <v>2453.86</v>
      </c>
      <c r="D50" s="26" t="s">
        <v>19</v>
      </c>
      <c r="E50" s="27">
        <v>2453.86</v>
      </c>
      <c r="F50" s="17"/>
      <c r="G50" s="13"/>
      <c r="H50" s="98">
        <f t="shared" si="5"/>
        <v>4907.72</v>
      </c>
      <c r="I50" s="8">
        <f t="shared" si="0"/>
        <v>4907.72</v>
      </c>
      <c r="J50" s="17">
        <f t="shared" si="2"/>
        <v>0</v>
      </c>
      <c r="K50" s="34"/>
      <c r="L50" s="11"/>
    </row>
    <row r="51" spans="1:13">
      <c r="A51" s="26" t="s">
        <v>33</v>
      </c>
      <c r="B51" s="27">
        <v>732.44</v>
      </c>
      <c r="D51" s="26" t="s">
        <v>33</v>
      </c>
      <c r="E51" s="27">
        <v>732.44</v>
      </c>
      <c r="F51" s="17"/>
      <c r="G51" s="13"/>
      <c r="H51" s="98">
        <f t="shared" si="5"/>
        <v>1464.88</v>
      </c>
      <c r="I51" s="8">
        <f t="shared" si="0"/>
        <v>1464.88</v>
      </c>
      <c r="J51" s="17">
        <f t="shared" si="2"/>
        <v>0</v>
      </c>
      <c r="K51" s="34"/>
      <c r="L51" s="11"/>
    </row>
    <row r="52" spans="1:13">
      <c r="A52" s="26" t="s">
        <v>20</v>
      </c>
      <c r="B52" s="27">
        <v>1603.29</v>
      </c>
      <c r="D52" s="26" t="s">
        <v>20</v>
      </c>
      <c r="E52" s="27">
        <v>1603.29</v>
      </c>
      <c r="F52" s="17"/>
      <c r="G52" s="13"/>
      <c r="H52" s="98">
        <f t="shared" si="5"/>
        <v>3206.58</v>
      </c>
      <c r="I52" s="8">
        <f t="shared" si="0"/>
        <v>3206.58</v>
      </c>
      <c r="J52" s="17">
        <f t="shared" si="2"/>
        <v>0</v>
      </c>
      <c r="K52" s="34"/>
      <c r="L52" s="11"/>
    </row>
    <row r="53" spans="1:13">
      <c r="A53" s="26" t="s">
        <v>62</v>
      </c>
      <c r="B53" s="27">
        <v>1961.25</v>
      </c>
      <c r="D53" s="26" t="s">
        <v>62</v>
      </c>
      <c r="E53" s="27">
        <v>1961.25</v>
      </c>
      <c r="F53" s="17"/>
      <c r="G53" s="13"/>
      <c r="H53" s="98">
        <f t="shared" ref="H53:H55" si="8">E53+B53</f>
        <v>3922.5</v>
      </c>
      <c r="I53" s="8">
        <f t="shared" si="0"/>
        <v>3922.5</v>
      </c>
      <c r="J53" s="17">
        <f t="shared" si="2"/>
        <v>0</v>
      </c>
      <c r="K53" s="34"/>
      <c r="L53" s="11"/>
    </row>
    <row r="54" spans="1:13">
      <c r="A54" s="26" t="s">
        <v>37</v>
      </c>
      <c r="B54" s="27">
        <v>2899.97</v>
      </c>
      <c r="D54" s="26" t="s">
        <v>37</v>
      </c>
      <c r="E54" s="27">
        <v>2899.97</v>
      </c>
      <c r="F54" s="17"/>
      <c r="G54" s="13"/>
      <c r="H54" s="98">
        <f t="shared" si="8"/>
        <v>5799.94</v>
      </c>
      <c r="I54" s="8">
        <f t="shared" si="0"/>
        <v>5799.94</v>
      </c>
      <c r="J54" s="17">
        <f t="shared" si="2"/>
        <v>0</v>
      </c>
      <c r="K54" s="34"/>
      <c r="L54" s="11"/>
    </row>
    <row r="55" spans="1:13">
      <c r="A55" s="26" t="s">
        <v>21</v>
      </c>
      <c r="B55" s="27">
        <v>1222.31</v>
      </c>
      <c r="D55" s="26" t="s">
        <v>21</v>
      </c>
      <c r="E55" s="27">
        <v>1222.31</v>
      </c>
      <c r="H55" s="98">
        <f t="shared" si="8"/>
        <v>2444.62</v>
      </c>
      <c r="I55" s="8">
        <f t="shared" si="0"/>
        <v>2444.62</v>
      </c>
      <c r="J55" s="17">
        <f t="shared" si="2"/>
        <v>0</v>
      </c>
      <c r="K55" s="34"/>
    </row>
    <row r="56" spans="1:13">
      <c r="A56" s="7" t="s">
        <v>24</v>
      </c>
      <c r="B56" s="22">
        <f>SUM(B6:B55)</f>
        <v>104666.92999999998</v>
      </c>
      <c r="C56" s="21"/>
      <c r="D56" s="7" t="s">
        <v>24</v>
      </c>
      <c r="E56" s="22">
        <f>SUM(E6:E55)</f>
        <v>104666.92999999998</v>
      </c>
      <c r="F56" s="22">
        <f>SUM(F6:F55)</f>
        <v>0</v>
      </c>
      <c r="G56" s="22"/>
      <c r="H56" s="22">
        <f>SUM(H6:H55)</f>
        <v>209333.85999999996</v>
      </c>
      <c r="I56" s="22">
        <f t="shared" ref="I56:L56" si="9">SUM(I6:I55)</f>
        <v>209333.84999999995</v>
      </c>
      <c r="J56" s="22">
        <f t="shared" si="9"/>
        <v>0</v>
      </c>
      <c r="K56" s="22">
        <f t="shared" si="9"/>
        <v>0</v>
      </c>
      <c r="L56" s="22">
        <f t="shared" si="9"/>
        <v>0</v>
      </c>
      <c r="M56" s="22"/>
    </row>
    <row r="58" spans="1:13" ht="15" thickBot="1">
      <c r="G58" s="21"/>
      <c r="H58" s="24"/>
      <c r="J58" s="30" t="s">
        <v>46</v>
      </c>
      <c r="K58" s="30" t="s">
        <v>44</v>
      </c>
      <c r="L58" s="30" t="s">
        <v>45</v>
      </c>
    </row>
    <row r="59" spans="1:13" ht="17">
      <c r="H59" s="74" t="s">
        <v>49</v>
      </c>
      <c r="I59" s="28">
        <f>'[1]SHEET 1'!$K$61</f>
        <v>225929.87000000005</v>
      </c>
      <c r="J59" s="70"/>
      <c r="K59" s="71"/>
      <c r="L59" s="72"/>
    </row>
    <row r="60" spans="1:13">
      <c r="G60" s="39"/>
      <c r="H60" s="91" t="s">
        <v>53</v>
      </c>
      <c r="I60" s="94">
        <f>SUM(J60:J66)</f>
        <v>16596.400000000001</v>
      </c>
      <c r="J60" s="49">
        <f>'[1]SHEET 1'!$K$8</f>
        <v>4293.75</v>
      </c>
      <c r="K60" s="63" t="s">
        <v>71</v>
      </c>
      <c r="L60" s="79" t="s">
        <v>60</v>
      </c>
    </row>
    <row r="61" spans="1:13">
      <c r="G61" s="39"/>
      <c r="H61" s="92"/>
      <c r="I61" s="95"/>
      <c r="J61" s="86">
        <f>'[1]SHEET 1'!$K$58</f>
        <v>8849.42</v>
      </c>
      <c r="K61" s="84" t="s">
        <v>72</v>
      </c>
      <c r="L61" s="79" t="s">
        <v>60</v>
      </c>
    </row>
    <row r="62" spans="1:13">
      <c r="G62" s="39"/>
      <c r="H62" s="92"/>
      <c r="I62" s="95"/>
      <c r="J62" s="86">
        <f>'[1]SHEET 1'!$K$59</f>
        <v>3453.23</v>
      </c>
      <c r="K62" s="84" t="s">
        <v>73</v>
      </c>
      <c r="L62" s="79" t="s">
        <v>60</v>
      </c>
    </row>
    <row r="63" spans="1:13">
      <c r="G63" s="39"/>
      <c r="H63" s="92"/>
      <c r="I63" s="95"/>
      <c r="J63" s="86"/>
      <c r="K63" s="84"/>
      <c r="L63" s="79"/>
    </row>
    <row r="64" spans="1:13">
      <c r="G64" s="39"/>
      <c r="H64" s="92"/>
      <c r="I64" s="95"/>
      <c r="J64" s="86"/>
      <c r="K64" s="84"/>
      <c r="L64" s="79"/>
    </row>
    <row r="65" spans="6:12">
      <c r="G65" s="38"/>
      <c r="H65" s="92"/>
      <c r="I65" s="95"/>
      <c r="J65" s="78"/>
      <c r="K65" s="63"/>
      <c r="L65" s="79"/>
    </row>
    <row r="66" spans="6:12" ht="15" thickBot="1">
      <c r="G66" s="38"/>
      <c r="H66" s="93"/>
      <c r="I66" s="96"/>
      <c r="J66" s="83"/>
      <c r="K66" s="84"/>
      <c r="L66" s="79"/>
    </row>
    <row r="67" spans="6:12" ht="17">
      <c r="F67" s="18"/>
      <c r="H67" s="75" t="s">
        <v>52</v>
      </c>
      <c r="I67" s="85">
        <f>I59-I60</f>
        <v>209333.47000000006</v>
      </c>
      <c r="J67" s="11"/>
      <c r="K67" s="34"/>
      <c r="L67" s="46"/>
    </row>
    <row r="68" spans="6:12" ht="17">
      <c r="F68" s="18"/>
      <c r="H68" s="77"/>
      <c r="I68" s="61"/>
      <c r="J68" s="11"/>
      <c r="K68" s="34"/>
      <c r="L68" s="46"/>
    </row>
    <row r="69" spans="6:12">
      <c r="H69" s="47"/>
      <c r="I69" s="48"/>
      <c r="J69" s="49"/>
      <c r="K69" s="50"/>
      <c r="L69" s="43"/>
    </row>
    <row r="70" spans="6:12">
      <c r="H70" s="51" t="s">
        <v>50</v>
      </c>
      <c r="I70" s="80">
        <f>H56</f>
        <v>209333.85999999996</v>
      </c>
      <c r="J70" s="44"/>
      <c r="K70" s="50"/>
      <c r="L70" s="45"/>
    </row>
    <row r="71" spans="6:12">
      <c r="H71" s="51"/>
      <c r="I71" s="90"/>
      <c r="J71" s="58"/>
      <c r="K71" s="84"/>
      <c r="L71" s="87"/>
    </row>
    <row r="72" spans="6:12">
      <c r="H72" s="51"/>
      <c r="I72" s="89"/>
      <c r="J72" s="58"/>
      <c r="K72" s="63"/>
      <c r="L72" s="87"/>
    </row>
    <row r="73" spans="6:12" ht="15" thickBot="1">
      <c r="H73" s="51"/>
      <c r="I73" s="81"/>
      <c r="J73" s="58"/>
      <c r="K73" s="88"/>
      <c r="L73" s="87"/>
    </row>
    <row r="74" spans="6:12" ht="17">
      <c r="H74" s="76" t="s">
        <v>54</v>
      </c>
      <c r="I74" s="62">
        <f>I70+I72+I71+I73</f>
        <v>209333.85999999996</v>
      </c>
      <c r="J74" s="58"/>
      <c r="K74" s="59"/>
      <c r="L74" s="60"/>
    </row>
    <row r="75" spans="6:12">
      <c r="H75" s="37"/>
      <c r="I75" s="42"/>
      <c r="L75" s="45"/>
    </row>
    <row r="76" spans="6:12">
      <c r="H76" s="56"/>
      <c r="I76" s="57"/>
      <c r="J76" s="58"/>
      <c r="K76" s="59"/>
      <c r="L76" s="60"/>
    </row>
    <row r="77" spans="6:12" ht="17.5" thickBot="1">
      <c r="H77" s="73" t="s">
        <v>51</v>
      </c>
      <c r="I77" s="55">
        <f>I74</f>
        <v>209333.85999999996</v>
      </c>
      <c r="J77" s="52"/>
      <c r="K77" s="53"/>
      <c r="L77" s="54"/>
    </row>
    <row r="81" spans="8:12">
      <c r="I81" s="40"/>
      <c r="L81" s="29"/>
    </row>
    <row r="82" spans="8:12">
      <c r="H82" s="41"/>
      <c r="I82" s="42"/>
    </row>
    <row r="85" spans="8:12">
      <c r="I85" s="25"/>
    </row>
    <row r="86" spans="8:12">
      <c r="I86" s="25"/>
    </row>
  </sheetData>
  <autoFilter ref="A5:B54" xr:uid="{8EA444A1-1907-48E8-B5DC-08F8D79AD4F9}"/>
  <mergeCells count="2">
    <mergeCell ref="H60:H66"/>
    <mergeCell ref="I60:I66"/>
  </mergeCells>
  <conditionalFormatting sqref="A5:B9 A53:B54 D53:E54 D5:E9">
    <cfRule type="uniqueValues" dxfId="1" priority="8"/>
  </conditionalFormatting>
  <conditionalFormatting sqref="A53:B1048576 A1:B9 D53:E1048576 D1:E9 A10:F43 A45:F52 A44:E44">
    <cfRule type="uniqueValues" dxfId="0" priority="1"/>
  </conditionalFormatting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Carlos R. Pasia</dc:creator>
  <cp:keywords/>
  <dc:description/>
  <cp:lastModifiedBy>John Carlos R. Pasia</cp:lastModifiedBy>
  <cp:revision/>
  <dcterms:created xsi:type="dcterms:W3CDTF">2025-01-31T00:56:32Z</dcterms:created>
  <dcterms:modified xsi:type="dcterms:W3CDTF">2025-10-30T05:22:14Z</dcterms:modified>
  <cp:category/>
  <cp:contentStatus/>
</cp:coreProperties>
</file>