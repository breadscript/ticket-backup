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tlci2022-my.sharepoint.com/personal/jrpasia_carmensbest_com_ph/Documents/"/>
    </mc:Choice>
  </mc:AlternateContent>
  <xr:revisionPtr revIDLastSave="0" documentId="8_{AADC27A5-7C13-4D67-A05D-D02BEF079B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1'!$F$1:$F$70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" i="1" l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L31" i="1" s="1"/>
  <c r="L61" i="1" s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1" i="1" s="1"/>
</calcChain>
</file>

<file path=xl/sharedStrings.xml><?xml version="1.0" encoding="utf-8"?>
<sst xmlns="http://schemas.openxmlformats.org/spreadsheetml/2006/main" count="134" uniqueCount="132">
  <si>
    <t xml:space="preserve">Equicom Savings Bank Inc. (065) </t>
  </si>
  <si>
    <t xml:space="preserve">Company Name : </t>
  </si>
  <si>
    <t xml:space="preserve">THE LAGUNA CREAMERY INC </t>
  </si>
  <si>
    <t>Corporate Salary Loan Statement</t>
  </si>
  <si>
    <t>Payment Due Date :</t>
  </si>
  <si>
    <t>Statement Period :</t>
  </si>
  <si>
    <t>OCT-NOV 2025</t>
  </si>
  <si>
    <t>No :</t>
  </si>
  <si>
    <t>Account Number</t>
  </si>
  <si>
    <t>PN</t>
  </si>
  <si>
    <t>Account Name</t>
  </si>
  <si>
    <t>Date Granted</t>
  </si>
  <si>
    <t>Maturity Date</t>
  </si>
  <si>
    <t>Loan Amount</t>
  </si>
  <si>
    <t>Monthly Amortization</t>
  </si>
  <si>
    <t>Remaining Terms (In Months)</t>
  </si>
  <si>
    <t>Amortization Due</t>
  </si>
  <si>
    <t>Total Amount Due</t>
  </si>
  <si>
    <t>Outstanding Balance</t>
  </si>
  <si>
    <t>Payment Made</t>
  </si>
  <si>
    <t>Remarks</t>
  </si>
  <si>
    <t>02-01-25001286-4</t>
  </si>
  <si>
    <t>ARBAS MA. MAE BAQUIANO</t>
  </si>
  <si>
    <t>02-01-25002291-9</t>
  </si>
  <si>
    <t>ATIENZA CHRISTIAN DE ROXAS</t>
  </si>
  <si>
    <t>OMA to be applied on November 3, 2025</t>
  </si>
  <si>
    <t>02-01-24000157-1</t>
  </si>
  <si>
    <t>BALDERAMA NORBEL ABILONG</t>
  </si>
  <si>
    <t>02-01-25002233-5</t>
  </si>
  <si>
    <t>FLORES MARLON DEL PERIO</t>
  </si>
  <si>
    <t>02-01-24002679-4</t>
  </si>
  <si>
    <t>CASIPI JEFFERSON PEREZ</t>
  </si>
  <si>
    <t>02-01-24002869-9</t>
  </si>
  <si>
    <t>LAGASCA CRESENCIO PADILLA</t>
  </si>
  <si>
    <t>02-01-24002680-5</t>
  </si>
  <si>
    <t>BORJA MARK ANGELO MENDOZA</t>
  </si>
  <si>
    <t>02-01-25001591-1</t>
  </si>
  <si>
    <t>MALICOSIO NOEL PALIOC</t>
  </si>
  <si>
    <t>02-01-25000504-1</t>
  </si>
  <si>
    <t>ROBILLOS CARLOS JESALVA</t>
  </si>
  <si>
    <t>02-01-25001654-2</t>
  </si>
  <si>
    <t>EBIAS STEPHEN ARANZADO</t>
  </si>
  <si>
    <t>02-01-25000153-3</t>
  </si>
  <si>
    <t>MOJICA JULIENNE ESGUERRA</t>
  </si>
  <si>
    <t>02-01-25001920-1</t>
  </si>
  <si>
    <t>LOLENG JOEL CAPONPON</t>
  </si>
  <si>
    <t>02-01-24001408-1</t>
  </si>
  <si>
    <t>GUEVARRA ELYSSA VANICE HE</t>
  </si>
  <si>
    <t>02-01-25002164-6</t>
  </si>
  <si>
    <t>RAMORAN RYAN AUGUST OLIVAR</t>
  </si>
  <si>
    <t>02-01-24001435-4</t>
  </si>
  <si>
    <t>CEFERINO BELARMINO NIEM</t>
  </si>
  <si>
    <t>02-01-24001407-1</t>
  </si>
  <si>
    <t>DEXTER SALES DE LEON</t>
  </si>
  <si>
    <t>02-01-25000503-3</t>
  </si>
  <si>
    <t>JOHN CARLO BECINA BIOLE</t>
  </si>
  <si>
    <t>02-01-24002670-9</t>
  </si>
  <si>
    <t>DINO ROEL NICDAO VIZCARRA</t>
  </si>
  <si>
    <t>02-01-25001753-1</t>
  </si>
  <si>
    <t>JEAN ROSE DE CASTRO PEREZ</t>
  </si>
  <si>
    <t>02-01-25000449-7</t>
  </si>
  <si>
    <t>JHAYROLD TUAZON TUICO</t>
  </si>
  <si>
    <t>02-01-25000362-3</t>
  </si>
  <si>
    <t>JOHN CARLOS REALON PASIA</t>
  </si>
  <si>
    <t>02-01-25002189-5</t>
  </si>
  <si>
    <t>JOSEPH ALLAN OSERIO ROXAS</t>
  </si>
  <si>
    <t>02-01-24000340-4</t>
  </si>
  <si>
    <t>CINDY NAVARRO MARTINEZ</t>
  </si>
  <si>
    <t>02-01-24000396-0</t>
  </si>
  <si>
    <t>MECHAEL MARAÑON CAHILIG</t>
  </si>
  <si>
    <t>02-01-24000585-7</t>
  </si>
  <si>
    <t>PRINCE JAMIEL BRODETH JOSON</t>
  </si>
  <si>
    <t>02-01-24000584-0</t>
  </si>
  <si>
    <t>JULIUS PARADO AGNER</t>
  </si>
  <si>
    <t>02-01-24000979-1</t>
  </si>
  <si>
    <t>AR-JAY MALABORBOR TUMBADO</t>
  </si>
  <si>
    <t>02-01-25001264-7</t>
  </si>
  <si>
    <t>ALDRIN COTERIAL ONIS</t>
  </si>
  <si>
    <t>02-01-24001020-0</t>
  </si>
  <si>
    <t>JOHANNA TABERNILLA TIROL</t>
  </si>
  <si>
    <t>02-01-24001021-7</t>
  </si>
  <si>
    <t>CHRISTIAN PAULO PASCO GARCIA</t>
  </si>
  <si>
    <t>02-01-25002143-6</t>
  </si>
  <si>
    <t>MYNDONN OMBLAS MANGANTI</t>
  </si>
  <si>
    <t>02-01-24001621-0</t>
  </si>
  <si>
    <t>JESSA OTERO MARTIN</t>
  </si>
  <si>
    <t>02-01-24002637-4</t>
  </si>
  <si>
    <t>IRENE VELASCO BARCELONA</t>
  </si>
  <si>
    <t>02-01-25000003-6</t>
  </si>
  <si>
    <t>DIOCEL MESIAS DACUTAN</t>
  </si>
  <si>
    <t>02-01-25000386-5</t>
  </si>
  <si>
    <t>MICHAEL ANGELO GONZALES CORPUZ</t>
  </si>
  <si>
    <t>02-01-25000385-8</t>
  </si>
  <si>
    <t>JHON MARCK LOBUSTA RAMIREZ</t>
  </si>
  <si>
    <t>02-01-25000405-2</t>
  </si>
  <si>
    <t>GILLIAN CRISTEL MONTEROZO SAMIANO</t>
  </si>
  <si>
    <t>02-01-25000675-8</t>
  </si>
  <si>
    <t>JEFFREY RECAIDO MANA-AY</t>
  </si>
  <si>
    <t>02-01-25000737-2</t>
  </si>
  <si>
    <t>MARJORIE SAN PEDRO BOSQUE</t>
  </si>
  <si>
    <t>02-01-25000738-0</t>
  </si>
  <si>
    <t>SANDRA ELLEN ROLDAN DE GUZMAN</t>
  </si>
  <si>
    <t>02-01-25000739-7</t>
  </si>
  <si>
    <t>KAYZEL LOVE JEM ORTEGA VILLARMA</t>
  </si>
  <si>
    <t>02-01-25000978-6</t>
  </si>
  <si>
    <t>MARK OLIVER DOMIREZ BERNARDO</t>
  </si>
  <si>
    <t>02-01-25001239-4</t>
  </si>
  <si>
    <t>RUSTICO LUDOR GUARIN</t>
  </si>
  <si>
    <t>02-01-25001240-5</t>
  </si>
  <si>
    <t>LENARD ALANO CARPENA</t>
  </si>
  <si>
    <t>02-01-25001256-5</t>
  </si>
  <si>
    <t>ROGELIO SANTOS DELA CRUZ</t>
  </si>
  <si>
    <t>02-01-25001496-1</t>
  </si>
  <si>
    <t>RENS MACADAIG AGONIA</t>
  </si>
  <si>
    <t>02-01-25001498-6</t>
  </si>
  <si>
    <t>KELVIN ARATIA BARCELONA</t>
  </si>
  <si>
    <t>02-01-25001785-4</t>
  </si>
  <si>
    <t>GILBERT LEONING ASPILI</t>
  </si>
  <si>
    <t>02-01-25001964-5</t>
  </si>
  <si>
    <t>MARK TOPHER ARONA VILLALUZ</t>
  </si>
  <si>
    <t>02-01-25002094-0</t>
  </si>
  <si>
    <t>EDEN MARIE NAVARRO PONGYAN</t>
  </si>
  <si>
    <t>02-01-25002222-1</t>
  </si>
  <si>
    <t>JUMAR SAMUYA COMPIDIO</t>
  </si>
  <si>
    <t>02-01-25002285-1</t>
  </si>
  <si>
    <t>MARC PILI CALONSAG</t>
  </si>
  <si>
    <t>02-01-25002312-1</t>
  </si>
  <si>
    <t>ANTHONETTE VILLACENCIO SANTOS</t>
  </si>
  <si>
    <t>TOTAL</t>
  </si>
  <si>
    <t>REMINDERS :</t>
  </si>
  <si>
    <t>1. Make sure to fill out the Remarks portion where applicable using only the following descriptions: Resigned or Deceased</t>
  </si>
  <si>
    <t>2. Upon payment. Kindly email Loans Operations Department (email address: EqB-loansoperation@equicomsavings.com.ph) the above statement (in Excel format only) together with the scanned copies or pictures of proof/s of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</si>
</sst>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yy;@"/>
    <numFmt numFmtId="167" formatCode="_ * #,##0.00_ ;_ * \-#,##0.00_ ;_ * &quot;-&quot;??_ ;_ @_ "/>
  </numFmts>
  <fonts count="3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7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>
      <alignment vertical="center"/>
    </xf>
    <xf numFmtId="167" fontId="1" fillId="0" borderId="0" xfId="1" applyFont="1" applyProtection="1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1" applyFont="1" applyAlignment="1" applyProtection="1">
      <alignment horizontal="right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41" workbookViewId="0">
      <pane xSplit="4" topLeftCell="J1" activePane="topRight" state="frozen"/>
      <selection pane="topRight" activeCell="K58" sqref="K58"/>
    </sheetView>
  </sheetViews>
  <sheetFormatPr defaultColWidth="10.26953125" defaultRowHeight="10.5"/>
  <cols>
    <col min="1" max="1" width="16.81640625" style="1" customWidth="1"/>
    <col min="2" max="2" width="22.1796875" style="2" customWidth="1"/>
    <col min="3" max="3" width="14.453125" style="2" customWidth="1"/>
    <col min="4" max="4" width="29.1796875" style="1" customWidth="1"/>
    <col min="5" max="5" width="10.81640625" style="3" customWidth="1"/>
    <col min="6" max="6" width="11.1796875" style="3" customWidth="1"/>
    <col min="7" max="7" width="11.1796875" style="4" customWidth="1"/>
    <col min="8" max="8" width="17.54296875" style="4" customWidth="1"/>
    <col min="9" max="9" width="22.453125" style="1" customWidth="1"/>
    <col min="10" max="10" width="14.26953125" style="4" customWidth="1"/>
    <col min="11" max="11" width="14.7265625" style="4" customWidth="1"/>
    <col min="12" max="12" width="16.81640625" style="4" customWidth="1"/>
    <col min="13" max="13" width="11.81640625" style="5" customWidth="1"/>
    <col min="14" max="16384" width="10.26953125" style="5"/>
  </cols>
  <sheetData>
    <row r="1" spans="1:14">
      <c r="A1" s="1" t="s">
        <v>0</v>
      </c>
    </row>
    <row r="2" spans="1:14">
      <c r="A2" s="1" t="s">
        <v>1</v>
      </c>
      <c r="B2" s="6" t="s">
        <v>2</v>
      </c>
    </row>
    <row r="3" spans="1:14">
      <c r="A3" s="1" t="s">
        <v>3</v>
      </c>
      <c r="B3" s="6"/>
    </row>
    <row r="4" spans="1:14">
      <c r="A4" s="1" t="s">
        <v>4</v>
      </c>
      <c r="B4" s="7">
        <v>45964</v>
      </c>
      <c r="C4" s="8"/>
    </row>
    <row r="5" spans="1:14">
      <c r="A5" s="1" t="s">
        <v>5</v>
      </c>
      <c r="B5" s="6" t="s">
        <v>6</v>
      </c>
    </row>
    <row r="6" spans="1:14">
      <c r="A6" s="1" t="s">
        <v>7</v>
      </c>
      <c r="B6" s="2" t="s">
        <v>8</v>
      </c>
      <c r="C6" s="2" t="s">
        <v>9</v>
      </c>
      <c r="D6" s="1" t="s">
        <v>10</v>
      </c>
      <c r="E6" s="3" t="s">
        <v>11</v>
      </c>
      <c r="F6" s="3" t="s">
        <v>12</v>
      </c>
      <c r="G6" s="4" t="s">
        <v>13</v>
      </c>
      <c r="H6" s="4" t="s">
        <v>14</v>
      </c>
      <c r="I6" s="1" t="s">
        <v>15</v>
      </c>
      <c r="J6" s="4" t="s">
        <v>16</v>
      </c>
      <c r="K6" s="4" t="s">
        <v>17</v>
      </c>
      <c r="L6" s="4" t="s">
        <v>18</v>
      </c>
      <c r="M6" s="5" t="s">
        <v>19</v>
      </c>
      <c r="N6" s="5" t="s">
        <v>20</v>
      </c>
    </row>
    <row r="7" spans="1:14">
      <c r="A7" s="1">
        <v>1</v>
      </c>
      <c r="B7" s="2">
        <v>2010334074</v>
      </c>
      <c r="C7" s="2" t="s">
        <v>21</v>
      </c>
      <c r="D7" s="1" t="s">
        <v>22</v>
      </c>
      <c r="E7" s="3">
        <v>45805</v>
      </c>
      <c r="F7" s="3">
        <v>46541</v>
      </c>
      <c r="G7" s="4">
        <v>70000</v>
      </c>
      <c r="H7" s="4">
        <v>3435.19</v>
      </c>
      <c r="I7" s="1">
        <v>20</v>
      </c>
      <c r="J7" s="4">
        <v>3435.19</v>
      </c>
      <c r="K7" s="4">
        <f>J7</f>
        <v>3435.19</v>
      </c>
      <c r="L7" s="4">
        <v>59954.239999999998</v>
      </c>
    </row>
    <row r="8" spans="1:14">
      <c r="A8" s="1">
        <v>2</v>
      </c>
      <c r="B8" s="2">
        <v>2010371301</v>
      </c>
      <c r="C8" s="2" t="s">
        <v>23</v>
      </c>
      <c r="D8" s="1" t="s">
        <v>24</v>
      </c>
      <c r="E8" s="3">
        <v>45915</v>
      </c>
      <c r="F8" s="3">
        <v>46663</v>
      </c>
      <c r="G8" s="4">
        <v>87000</v>
      </c>
      <c r="H8" s="4">
        <v>4293.75</v>
      </c>
      <c r="I8" s="1">
        <v>24</v>
      </c>
      <c r="J8" s="4">
        <v>4293.75</v>
      </c>
      <c r="K8" s="4">
        <f t="shared" ref="K8:K39" si="0">J8</f>
        <v>4293.75</v>
      </c>
      <c r="L8" s="4">
        <v>87000</v>
      </c>
      <c r="N8" s="5" t="s">
        <v>25</v>
      </c>
    </row>
    <row r="9" spans="1:14">
      <c r="A9" s="1">
        <v>3</v>
      </c>
      <c r="B9" s="2">
        <v>2010159442</v>
      </c>
      <c r="C9" s="2" t="s">
        <v>26</v>
      </c>
      <c r="D9" s="1" t="s">
        <v>27</v>
      </c>
      <c r="E9" s="3">
        <v>45336</v>
      </c>
      <c r="F9" s="3">
        <v>46084</v>
      </c>
      <c r="G9" s="4">
        <v>61000</v>
      </c>
      <c r="H9" s="4">
        <v>3011.87</v>
      </c>
      <c r="I9" s="1">
        <v>4</v>
      </c>
      <c r="J9" s="4">
        <v>3011.87</v>
      </c>
      <c r="K9" s="4">
        <f t="shared" si="0"/>
        <v>3011.87</v>
      </c>
      <c r="L9" s="4">
        <v>14477.36</v>
      </c>
    </row>
    <row r="10" spans="1:14">
      <c r="A10" s="1">
        <v>4</v>
      </c>
      <c r="B10" s="2">
        <v>2010368793</v>
      </c>
      <c r="C10" s="2" t="s">
        <v>28</v>
      </c>
      <c r="D10" s="1" t="s">
        <v>29</v>
      </c>
      <c r="E10" s="3">
        <v>45908</v>
      </c>
      <c r="F10" s="3">
        <v>46999</v>
      </c>
      <c r="G10" s="4">
        <v>68000</v>
      </c>
      <c r="H10" s="4">
        <v>2380.11</v>
      </c>
      <c r="I10" s="1">
        <v>35</v>
      </c>
      <c r="J10" s="4">
        <v>2380.11</v>
      </c>
      <c r="K10" s="4">
        <f t="shared" si="0"/>
        <v>2380.11</v>
      </c>
      <c r="L10" s="4">
        <v>66367.86</v>
      </c>
    </row>
    <row r="11" spans="1:14">
      <c r="A11" s="1">
        <v>5</v>
      </c>
      <c r="B11" s="2">
        <v>2010271145</v>
      </c>
      <c r="C11" s="2" t="s">
        <v>30</v>
      </c>
      <c r="D11" s="1" t="s">
        <v>31</v>
      </c>
      <c r="E11" s="3">
        <v>45621</v>
      </c>
      <c r="F11" s="3">
        <v>46724</v>
      </c>
      <c r="G11" s="4">
        <v>65000</v>
      </c>
      <c r="H11" s="4">
        <v>2268.11</v>
      </c>
      <c r="I11" s="1">
        <v>26</v>
      </c>
      <c r="J11" s="4">
        <v>2268.11</v>
      </c>
      <c r="K11" s="4">
        <f t="shared" si="0"/>
        <v>2268.11</v>
      </c>
      <c r="L11" s="4">
        <v>49962.53</v>
      </c>
    </row>
    <row r="12" spans="1:14">
      <c r="A12" s="1">
        <v>6</v>
      </c>
      <c r="B12" s="2">
        <v>2010278824</v>
      </c>
      <c r="C12" s="2" t="s">
        <v>32</v>
      </c>
      <c r="D12" s="1" t="s">
        <v>33</v>
      </c>
      <c r="E12" s="3">
        <v>45643</v>
      </c>
      <c r="F12" s="3">
        <v>46390</v>
      </c>
      <c r="G12" s="4">
        <v>88000</v>
      </c>
      <c r="H12" s="4">
        <v>4311.57</v>
      </c>
      <c r="I12" s="1">
        <v>15</v>
      </c>
      <c r="J12" s="4">
        <v>4311.57</v>
      </c>
      <c r="K12" s="4">
        <f t="shared" si="0"/>
        <v>4311.57</v>
      </c>
      <c r="L12" s="4">
        <v>58499.48</v>
      </c>
    </row>
    <row r="13" spans="1:14">
      <c r="A13" s="1">
        <v>7</v>
      </c>
      <c r="B13" s="2">
        <v>2010271153</v>
      </c>
      <c r="C13" s="2" t="s">
        <v>34</v>
      </c>
      <c r="D13" s="1" t="s">
        <v>35</v>
      </c>
      <c r="E13" s="3">
        <v>45621</v>
      </c>
      <c r="F13" s="3">
        <v>46359</v>
      </c>
      <c r="G13" s="4">
        <v>260000</v>
      </c>
      <c r="H13" s="4">
        <v>12696.03</v>
      </c>
      <c r="I13" s="1">
        <v>14</v>
      </c>
      <c r="J13" s="4">
        <v>12696.03</v>
      </c>
      <c r="K13" s="4">
        <f t="shared" si="0"/>
        <v>12696.03</v>
      </c>
      <c r="L13" s="4">
        <v>161771.72</v>
      </c>
    </row>
    <row r="14" spans="1:14">
      <c r="A14" s="1">
        <v>8</v>
      </c>
      <c r="B14" s="2">
        <v>2010345114</v>
      </c>
      <c r="C14" s="2" t="s">
        <v>36</v>
      </c>
      <c r="D14" s="1" t="s">
        <v>37</v>
      </c>
      <c r="E14" s="3">
        <v>45834</v>
      </c>
      <c r="F14" s="3">
        <v>46571</v>
      </c>
      <c r="G14" s="4">
        <v>80000</v>
      </c>
      <c r="H14" s="4">
        <v>3929.36</v>
      </c>
      <c r="I14" s="1">
        <v>21</v>
      </c>
      <c r="J14" s="4">
        <v>3929.36</v>
      </c>
      <c r="K14" s="4">
        <f t="shared" si="0"/>
        <v>3929.36</v>
      </c>
      <c r="L14" s="4">
        <v>71554.039999999994</v>
      </c>
    </row>
    <row r="15" spans="1:14">
      <c r="A15" s="1">
        <v>9</v>
      </c>
      <c r="B15" s="2">
        <v>2010302822</v>
      </c>
      <c r="C15" s="2" t="s">
        <v>38</v>
      </c>
      <c r="D15" s="1" t="s">
        <v>39</v>
      </c>
      <c r="E15" s="3">
        <v>45722</v>
      </c>
      <c r="F15" s="3">
        <v>46449</v>
      </c>
      <c r="G15" s="4">
        <v>60000</v>
      </c>
      <c r="H15" s="4">
        <v>2922.25</v>
      </c>
      <c r="I15" s="1">
        <v>17</v>
      </c>
      <c r="J15" s="4">
        <v>2922.25</v>
      </c>
      <c r="K15" s="4">
        <f t="shared" si="0"/>
        <v>2922.25</v>
      </c>
      <c r="L15" s="4">
        <v>44319.59</v>
      </c>
    </row>
    <row r="16" spans="1:14">
      <c r="A16" s="1">
        <v>10</v>
      </c>
      <c r="B16" s="2">
        <v>2010347168</v>
      </c>
      <c r="C16" s="2" t="s">
        <v>40</v>
      </c>
      <c r="D16" s="1" t="s">
        <v>41</v>
      </c>
      <c r="E16" s="3">
        <v>45838</v>
      </c>
      <c r="F16" s="3">
        <v>46571</v>
      </c>
      <c r="G16" s="4">
        <v>206000</v>
      </c>
      <c r="H16" s="4">
        <v>10100.41</v>
      </c>
      <c r="I16" s="1">
        <v>21</v>
      </c>
      <c r="J16" s="4">
        <v>10100.41</v>
      </c>
      <c r="K16" s="4">
        <f t="shared" si="0"/>
        <v>10100.41</v>
      </c>
      <c r="L16" s="4">
        <v>183929.21</v>
      </c>
    </row>
    <row r="17" spans="1:12">
      <c r="A17" s="1">
        <v>11</v>
      </c>
      <c r="B17" s="2">
        <v>2010289354</v>
      </c>
      <c r="C17" s="2" t="s">
        <v>42</v>
      </c>
      <c r="D17" s="1" t="s">
        <v>43</v>
      </c>
      <c r="E17" s="3">
        <v>45687</v>
      </c>
      <c r="F17" s="3">
        <v>46786</v>
      </c>
      <c r="G17" s="4">
        <v>200000</v>
      </c>
      <c r="H17" s="4">
        <v>6967.18</v>
      </c>
      <c r="I17" s="1">
        <v>28</v>
      </c>
      <c r="J17" s="4">
        <v>6967.18</v>
      </c>
      <c r="K17" s="4">
        <f t="shared" si="0"/>
        <v>6967.18</v>
      </c>
      <c r="L17" s="4">
        <v>163325.68</v>
      </c>
    </row>
    <row r="18" spans="1:12">
      <c r="A18" s="1">
        <v>12</v>
      </c>
      <c r="B18" s="2">
        <v>2010355462</v>
      </c>
      <c r="C18" s="2" t="s">
        <v>44</v>
      </c>
      <c r="D18" s="1" t="s">
        <v>45</v>
      </c>
      <c r="E18" s="3">
        <v>45866</v>
      </c>
      <c r="F18" s="3">
        <v>46602</v>
      </c>
      <c r="G18" s="4">
        <v>52000</v>
      </c>
      <c r="H18" s="4">
        <v>2551.85</v>
      </c>
      <c r="I18" s="1">
        <v>22</v>
      </c>
      <c r="J18" s="4">
        <v>2551.85</v>
      </c>
      <c r="K18" s="4">
        <f t="shared" si="0"/>
        <v>2551.85</v>
      </c>
      <c r="L18" s="4">
        <v>48375.97</v>
      </c>
    </row>
    <row r="19" spans="1:12">
      <c r="A19" s="1">
        <v>13</v>
      </c>
      <c r="B19" s="2">
        <v>2010220168</v>
      </c>
      <c r="C19" s="2" t="s">
        <v>46</v>
      </c>
      <c r="D19" s="1" t="s">
        <v>47</v>
      </c>
      <c r="E19" s="3">
        <v>45495</v>
      </c>
      <c r="F19" s="3">
        <v>46237</v>
      </c>
      <c r="G19" s="4">
        <v>94000</v>
      </c>
      <c r="H19" s="4">
        <v>4595.8900000000003</v>
      </c>
      <c r="I19" s="1">
        <v>9</v>
      </c>
      <c r="J19" s="4">
        <v>4595.8900000000003</v>
      </c>
      <c r="K19" s="4">
        <f t="shared" si="0"/>
        <v>4595.8900000000003</v>
      </c>
      <c r="L19" s="4">
        <v>42880.61</v>
      </c>
    </row>
    <row r="20" spans="1:12">
      <c r="A20" s="1">
        <v>14</v>
      </c>
      <c r="B20" s="2">
        <v>2010365859</v>
      </c>
      <c r="C20" s="2" t="s">
        <v>48</v>
      </c>
      <c r="D20" s="1" t="s">
        <v>49</v>
      </c>
      <c r="E20" s="3">
        <v>45897</v>
      </c>
      <c r="F20" s="3">
        <v>46633</v>
      </c>
      <c r="G20" s="4">
        <v>76000</v>
      </c>
      <c r="H20" s="4">
        <v>3729.63</v>
      </c>
      <c r="I20" s="1">
        <v>23</v>
      </c>
      <c r="J20" s="4">
        <v>3729.63</v>
      </c>
      <c r="K20" s="4">
        <f t="shared" si="0"/>
        <v>3729.63</v>
      </c>
      <c r="L20" s="4">
        <v>73453.14</v>
      </c>
    </row>
    <row r="21" spans="1:12">
      <c r="A21" s="1">
        <v>15</v>
      </c>
      <c r="B21" s="2">
        <v>2010220885</v>
      </c>
      <c r="C21" s="2" t="s">
        <v>50</v>
      </c>
      <c r="D21" s="1" t="s">
        <v>51</v>
      </c>
      <c r="E21" s="3">
        <v>45496</v>
      </c>
      <c r="F21" s="3">
        <v>46237</v>
      </c>
      <c r="G21" s="4">
        <v>40000</v>
      </c>
      <c r="H21" s="4">
        <v>1954.88</v>
      </c>
      <c r="I21" s="1">
        <v>9</v>
      </c>
      <c r="J21" s="4">
        <v>1954.88</v>
      </c>
      <c r="K21" s="4">
        <f t="shared" si="0"/>
        <v>1954.88</v>
      </c>
      <c r="L21" s="4">
        <v>18239.38</v>
      </c>
    </row>
    <row r="22" spans="1:12">
      <c r="A22" s="1">
        <v>16</v>
      </c>
      <c r="B22" s="2">
        <v>2010220079</v>
      </c>
      <c r="C22" s="2" t="s">
        <v>52</v>
      </c>
      <c r="D22" s="1" t="s">
        <v>53</v>
      </c>
      <c r="E22" s="3">
        <v>45495</v>
      </c>
      <c r="F22" s="3">
        <v>46237</v>
      </c>
      <c r="G22" s="4">
        <v>50000</v>
      </c>
      <c r="H22" s="4">
        <v>2444.62</v>
      </c>
      <c r="I22" s="1">
        <v>9</v>
      </c>
      <c r="J22" s="4">
        <v>2444.62</v>
      </c>
      <c r="K22" s="4">
        <f t="shared" si="0"/>
        <v>2444.62</v>
      </c>
      <c r="L22" s="4">
        <v>22808.87</v>
      </c>
    </row>
    <row r="23" spans="1:12">
      <c r="A23" s="1">
        <v>17</v>
      </c>
      <c r="B23" s="2">
        <v>2010302814</v>
      </c>
      <c r="C23" s="2" t="s">
        <v>54</v>
      </c>
      <c r="D23" s="1" t="s">
        <v>55</v>
      </c>
      <c r="E23" s="3">
        <v>45722</v>
      </c>
      <c r="F23" s="3">
        <v>46449</v>
      </c>
      <c r="G23" s="4">
        <v>52000</v>
      </c>
      <c r="H23" s="4">
        <v>2532.61</v>
      </c>
      <c r="I23" s="1">
        <v>17</v>
      </c>
      <c r="J23" s="4">
        <v>2532.61</v>
      </c>
      <c r="K23" s="4">
        <f t="shared" si="0"/>
        <v>2532.61</v>
      </c>
      <c r="L23" s="4">
        <v>38410.36</v>
      </c>
    </row>
    <row r="24" spans="1:12">
      <c r="A24" s="1">
        <v>18</v>
      </c>
      <c r="B24" s="2">
        <v>2010270588</v>
      </c>
      <c r="C24" s="2" t="s">
        <v>56</v>
      </c>
      <c r="D24" s="1" t="s">
        <v>57</v>
      </c>
      <c r="E24" s="3">
        <v>45618</v>
      </c>
      <c r="F24" s="3">
        <v>46359</v>
      </c>
      <c r="G24" s="4">
        <v>50000</v>
      </c>
      <c r="H24" s="4">
        <v>2444.62</v>
      </c>
      <c r="I24" s="1">
        <v>14</v>
      </c>
      <c r="J24" s="4">
        <v>2444.62</v>
      </c>
      <c r="K24" s="4">
        <f t="shared" si="0"/>
        <v>2444.62</v>
      </c>
      <c r="L24" s="4">
        <v>31149.22</v>
      </c>
    </row>
    <row r="25" spans="1:12">
      <c r="A25" s="1">
        <v>19</v>
      </c>
      <c r="B25" s="2">
        <v>2010350134</v>
      </c>
      <c r="C25" s="2" t="s">
        <v>58</v>
      </c>
      <c r="D25" s="1" t="s">
        <v>59</v>
      </c>
      <c r="E25" s="3">
        <v>45848</v>
      </c>
      <c r="F25" s="3">
        <v>46237</v>
      </c>
      <c r="G25" s="4">
        <v>76000</v>
      </c>
      <c r="H25" s="4">
        <v>6956.74</v>
      </c>
      <c r="I25" s="1">
        <v>9</v>
      </c>
      <c r="J25" s="4">
        <v>6956.74</v>
      </c>
      <c r="K25" s="4">
        <f t="shared" si="0"/>
        <v>6956.74</v>
      </c>
      <c r="L25" s="4">
        <v>64785.66</v>
      </c>
    </row>
    <row r="26" spans="1:12">
      <c r="A26" s="1">
        <v>20</v>
      </c>
      <c r="B26" s="2">
        <v>2010300862</v>
      </c>
      <c r="C26" s="2" t="s">
        <v>60</v>
      </c>
      <c r="D26" s="1" t="s">
        <v>61</v>
      </c>
      <c r="E26" s="3">
        <v>45716</v>
      </c>
      <c r="F26" s="3">
        <v>46449</v>
      </c>
      <c r="G26" s="4">
        <v>30000</v>
      </c>
      <c r="H26" s="4">
        <v>1464.88</v>
      </c>
      <c r="I26" s="1">
        <v>17</v>
      </c>
      <c r="J26" s="4">
        <v>1464.88</v>
      </c>
      <c r="K26" s="4">
        <f t="shared" si="0"/>
        <v>1464.88</v>
      </c>
      <c r="L26" s="4">
        <v>22216.69</v>
      </c>
    </row>
    <row r="27" spans="1:12">
      <c r="A27" s="1">
        <v>21</v>
      </c>
      <c r="B27" s="2">
        <v>2010297861</v>
      </c>
      <c r="C27" s="2" t="s">
        <v>62</v>
      </c>
      <c r="D27" s="1" t="s">
        <v>63</v>
      </c>
      <c r="E27" s="3">
        <v>45709</v>
      </c>
      <c r="F27" s="3">
        <v>46268</v>
      </c>
      <c r="G27" s="4">
        <v>86000</v>
      </c>
      <c r="H27" s="4">
        <v>5415.99</v>
      </c>
      <c r="I27" s="1">
        <v>10</v>
      </c>
      <c r="J27" s="4">
        <v>5415.99</v>
      </c>
      <c r="K27" s="4">
        <f t="shared" si="0"/>
        <v>5415.99</v>
      </c>
      <c r="L27" s="4">
        <v>55188.08</v>
      </c>
    </row>
    <row r="28" spans="1:12">
      <c r="A28" s="1">
        <v>22</v>
      </c>
      <c r="B28" s="2">
        <v>2010366707</v>
      </c>
      <c r="C28" s="2" t="s">
        <v>64</v>
      </c>
      <c r="D28" s="1" t="s">
        <v>65</v>
      </c>
      <c r="E28" s="3">
        <v>45901</v>
      </c>
      <c r="F28" s="3">
        <v>46633</v>
      </c>
      <c r="G28" s="4">
        <v>100000</v>
      </c>
      <c r="H28" s="4">
        <v>4900.96</v>
      </c>
      <c r="I28" s="1">
        <v>23</v>
      </c>
      <c r="J28" s="4">
        <v>4900.96</v>
      </c>
      <c r="K28" s="4">
        <f t="shared" si="0"/>
        <v>4900.96</v>
      </c>
      <c r="L28" s="4">
        <v>96521.919999999998</v>
      </c>
    </row>
    <row r="29" spans="1:12">
      <c r="A29" s="1">
        <v>23</v>
      </c>
      <c r="B29" s="2">
        <v>2010169324</v>
      </c>
      <c r="C29" s="2" t="s">
        <v>66</v>
      </c>
      <c r="D29" s="1" t="s">
        <v>67</v>
      </c>
      <c r="E29" s="3">
        <v>45363</v>
      </c>
      <c r="F29" s="3">
        <v>46115</v>
      </c>
      <c r="G29" s="4">
        <v>50000</v>
      </c>
      <c r="H29" s="4">
        <v>2470.89</v>
      </c>
      <c r="I29" s="1">
        <v>5</v>
      </c>
      <c r="J29" s="4">
        <v>2470.89</v>
      </c>
      <c r="K29" s="4">
        <f t="shared" si="0"/>
        <v>2470.89</v>
      </c>
      <c r="L29" s="4">
        <v>14159.13</v>
      </c>
    </row>
    <row r="30" spans="1:12">
      <c r="A30" s="1">
        <v>24</v>
      </c>
      <c r="B30" s="2">
        <v>2010172783</v>
      </c>
      <c r="C30" s="2" t="s">
        <v>68</v>
      </c>
      <c r="D30" s="1" t="s">
        <v>69</v>
      </c>
      <c r="E30" s="3">
        <v>45370</v>
      </c>
      <c r="F30" s="3">
        <v>46115</v>
      </c>
      <c r="G30" s="4">
        <v>70000</v>
      </c>
      <c r="H30" s="4">
        <v>3448.72</v>
      </c>
      <c r="I30" s="1">
        <v>5</v>
      </c>
      <c r="J30" s="4">
        <v>3448.72</v>
      </c>
      <c r="K30" s="4">
        <f t="shared" si="0"/>
        <v>3448.72</v>
      </c>
      <c r="L30" s="4">
        <v>19762.41</v>
      </c>
    </row>
    <row r="31" spans="1:12">
      <c r="A31" s="1">
        <v>25</v>
      </c>
      <c r="B31" s="2">
        <v>2010182339</v>
      </c>
      <c r="C31" s="2" t="s">
        <v>70</v>
      </c>
      <c r="D31" s="1" t="s">
        <v>71</v>
      </c>
      <c r="E31" s="3">
        <v>45400</v>
      </c>
      <c r="F31" s="3">
        <v>45964</v>
      </c>
      <c r="G31" s="4">
        <v>94000</v>
      </c>
      <c r="H31" s="4">
        <v>5917.39</v>
      </c>
      <c r="I31" s="1">
        <v>0</v>
      </c>
      <c r="J31" s="4">
        <v>5917.39</v>
      </c>
      <c r="K31" s="4">
        <f t="shared" si="0"/>
        <v>5917.39</v>
      </c>
      <c r="L31" s="4">
        <f>K31</f>
        <v>5917.39</v>
      </c>
    </row>
    <row r="32" spans="1:12">
      <c r="A32" s="1">
        <v>26</v>
      </c>
      <c r="B32" s="2">
        <v>2010182347</v>
      </c>
      <c r="C32" s="2" t="s">
        <v>72</v>
      </c>
      <c r="D32" s="1" t="s">
        <v>73</v>
      </c>
      <c r="E32" s="3">
        <v>45400</v>
      </c>
      <c r="F32" s="3">
        <v>46145</v>
      </c>
      <c r="G32" s="4">
        <v>85000</v>
      </c>
      <c r="H32" s="4">
        <v>4162.84</v>
      </c>
      <c r="I32" s="1">
        <v>6</v>
      </c>
      <c r="J32" s="4">
        <v>4162.84</v>
      </c>
      <c r="K32" s="4">
        <f t="shared" si="0"/>
        <v>4162.84</v>
      </c>
      <c r="L32" s="4">
        <v>27704.880000000001</v>
      </c>
    </row>
    <row r="33" spans="1:12">
      <c r="A33" s="1">
        <v>27</v>
      </c>
      <c r="B33" s="2">
        <v>2010203034</v>
      </c>
      <c r="C33" s="2" t="s">
        <v>74</v>
      </c>
      <c r="D33" s="1" t="s">
        <v>75</v>
      </c>
      <c r="E33" s="3">
        <v>45450</v>
      </c>
      <c r="F33" s="3">
        <v>46176</v>
      </c>
      <c r="G33" s="4">
        <v>66000</v>
      </c>
      <c r="H33" s="4">
        <v>3206.58</v>
      </c>
      <c r="I33" s="1">
        <v>7</v>
      </c>
      <c r="J33" s="4">
        <v>3206.58</v>
      </c>
      <c r="K33" s="4">
        <f t="shared" si="0"/>
        <v>3206.58</v>
      </c>
      <c r="L33" s="4">
        <v>24236.76</v>
      </c>
    </row>
    <row r="34" spans="1:12">
      <c r="A34" s="1">
        <v>28</v>
      </c>
      <c r="B34" s="2">
        <v>2010333337</v>
      </c>
      <c r="C34" s="2" t="s">
        <v>76</v>
      </c>
      <c r="D34" s="1" t="s">
        <v>77</v>
      </c>
      <c r="E34" s="3">
        <v>45804</v>
      </c>
      <c r="F34" s="3">
        <v>46907</v>
      </c>
      <c r="G34" s="4">
        <v>182000</v>
      </c>
      <c r="H34" s="4">
        <v>6400.79</v>
      </c>
      <c r="I34" s="1">
        <v>32</v>
      </c>
      <c r="J34" s="4">
        <v>6400.79</v>
      </c>
      <c r="K34" s="4">
        <f t="shared" si="0"/>
        <v>6400.79</v>
      </c>
      <c r="L34" s="4">
        <v>166186.35</v>
      </c>
    </row>
    <row r="35" spans="1:12">
      <c r="A35" s="1">
        <v>29</v>
      </c>
      <c r="B35" s="2">
        <v>2010205061</v>
      </c>
      <c r="C35" s="2" t="s">
        <v>78</v>
      </c>
      <c r="D35" s="1" t="s">
        <v>79</v>
      </c>
      <c r="E35" s="3">
        <v>45456</v>
      </c>
      <c r="F35" s="3">
        <v>46206</v>
      </c>
      <c r="G35" s="4">
        <v>100000</v>
      </c>
      <c r="H35" s="4">
        <v>4907.72</v>
      </c>
      <c r="I35" s="1">
        <v>8</v>
      </c>
      <c r="J35" s="4">
        <v>4907.72</v>
      </c>
      <c r="K35" s="4">
        <f t="shared" si="0"/>
        <v>4907.72</v>
      </c>
      <c r="L35" s="4">
        <v>41469.1</v>
      </c>
    </row>
    <row r="36" spans="1:12">
      <c r="A36" s="1">
        <v>30</v>
      </c>
      <c r="B36" s="2">
        <v>2010205077</v>
      </c>
      <c r="C36" s="2" t="s">
        <v>80</v>
      </c>
      <c r="D36" s="1" t="s">
        <v>81</v>
      </c>
      <c r="E36" s="3">
        <v>45456</v>
      </c>
      <c r="F36" s="3">
        <v>46206</v>
      </c>
      <c r="G36" s="4">
        <v>66000</v>
      </c>
      <c r="H36" s="4">
        <v>3239.1</v>
      </c>
      <c r="I36" s="1">
        <v>8</v>
      </c>
      <c r="J36" s="4">
        <v>3239.1</v>
      </c>
      <c r="K36" s="4">
        <f t="shared" si="0"/>
        <v>3239.1</v>
      </c>
      <c r="L36" s="4">
        <v>27369.53</v>
      </c>
    </row>
    <row r="37" spans="1:12">
      <c r="A37" s="1">
        <v>31</v>
      </c>
      <c r="B37" s="2">
        <v>2010364968</v>
      </c>
      <c r="C37" s="2" t="s">
        <v>82</v>
      </c>
      <c r="D37" s="1" t="s">
        <v>83</v>
      </c>
      <c r="E37" s="3">
        <v>45896</v>
      </c>
      <c r="F37" s="3">
        <v>46633</v>
      </c>
      <c r="G37" s="4">
        <v>150000</v>
      </c>
      <c r="H37" s="4">
        <v>7364.34</v>
      </c>
      <c r="I37" s="1">
        <v>23</v>
      </c>
      <c r="J37" s="4">
        <v>7364.34</v>
      </c>
      <c r="K37" s="4">
        <f t="shared" si="0"/>
        <v>7364.34</v>
      </c>
      <c r="L37" s="4">
        <v>145036.76999999999</v>
      </c>
    </row>
    <row r="38" spans="1:12">
      <c r="A38" s="1">
        <v>32</v>
      </c>
      <c r="B38" s="2">
        <v>2010228018</v>
      </c>
      <c r="C38" s="2" t="s">
        <v>84</v>
      </c>
      <c r="D38" s="1" t="s">
        <v>85</v>
      </c>
      <c r="E38" s="3">
        <v>45511</v>
      </c>
      <c r="F38" s="3">
        <v>46602</v>
      </c>
      <c r="G38" s="4">
        <v>100000</v>
      </c>
      <c r="H38" s="4">
        <v>3471.97</v>
      </c>
      <c r="I38" s="1">
        <v>22</v>
      </c>
      <c r="J38" s="4">
        <v>3471.97</v>
      </c>
      <c r="K38" s="4">
        <f t="shared" si="0"/>
        <v>3471.97</v>
      </c>
      <c r="L38" s="4">
        <v>66283.92</v>
      </c>
    </row>
    <row r="39" spans="1:12">
      <c r="A39" s="1">
        <v>33</v>
      </c>
      <c r="B39" s="2">
        <v>2010269329</v>
      </c>
      <c r="C39" s="2" t="s">
        <v>86</v>
      </c>
      <c r="D39" s="1" t="s">
        <v>87</v>
      </c>
      <c r="E39" s="3">
        <v>45615</v>
      </c>
      <c r="F39" s="3">
        <v>46359</v>
      </c>
      <c r="G39" s="4">
        <v>80000</v>
      </c>
      <c r="H39" s="4">
        <v>3916.32</v>
      </c>
      <c r="I39" s="1">
        <v>14</v>
      </c>
      <c r="J39" s="4">
        <v>3916.32</v>
      </c>
      <c r="K39" s="4">
        <f t="shared" si="0"/>
        <v>3916.32</v>
      </c>
      <c r="L39" s="4">
        <v>49901.5</v>
      </c>
    </row>
    <row r="40" spans="1:12">
      <c r="A40" s="1">
        <v>34</v>
      </c>
      <c r="B40" s="2">
        <v>2010281809</v>
      </c>
      <c r="C40" s="2" t="s">
        <v>88</v>
      </c>
      <c r="D40" s="1" t="s">
        <v>89</v>
      </c>
      <c r="E40" s="3">
        <v>45659</v>
      </c>
      <c r="F40" s="3">
        <v>46206</v>
      </c>
      <c r="G40" s="4">
        <v>100000</v>
      </c>
      <c r="H40" s="4">
        <v>6258.19</v>
      </c>
      <c r="I40" s="1">
        <v>8</v>
      </c>
      <c r="J40" s="4">
        <v>6258.19</v>
      </c>
      <c r="K40" s="4">
        <f t="shared" ref="K40:K58" si="1">J40</f>
        <v>6258.19</v>
      </c>
      <c r="L40" s="4">
        <v>52883.7</v>
      </c>
    </row>
    <row r="41" spans="1:12">
      <c r="A41" s="1">
        <v>35</v>
      </c>
      <c r="B41" s="2">
        <v>2010298957</v>
      </c>
      <c r="C41" s="2" t="s">
        <v>90</v>
      </c>
      <c r="D41" s="1" t="s">
        <v>91</v>
      </c>
      <c r="E41" s="3">
        <v>45713</v>
      </c>
      <c r="F41" s="3">
        <v>46449</v>
      </c>
      <c r="G41" s="4">
        <v>70000</v>
      </c>
      <c r="H41" s="4">
        <v>3425.34</v>
      </c>
      <c r="I41" s="1">
        <v>17</v>
      </c>
      <c r="J41" s="4">
        <v>3425.34</v>
      </c>
      <c r="K41" s="4">
        <f t="shared" si="1"/>
        <v>3425.34</v>
      </c>
      <c r="L41" s="4">
        <v>51949.63</v>
      </c>
    </row>
    <row r="42" spans="1:12">
      <c r="A42" s="1">
        <v>36</v>
      </c>
      <c r="B42" s="2">
        <v>2010298965</v>
      </c>
      <c r="C42" s="2" t="s">
        <v>92</v>
      </c>
      <c r="D42" s="1" t="s">
        <v>93</v>
      </c>
      <c r="E42" s="3">
        <v>45713</v>
      </c>
      <c r="F42" s="3">
        <v>46084</v>
      </c>
      <c r="G42" s="4">
        <v>60000</v>
      </c>
      <c r="H42" s="4">
        <v>5444.3</v>
      </c>
      <c r="I42" s="1">
        <v>4</v>
      </c>
      <c r="J42" s="4">
        <v>5444.3</v>
      </c>
      <c r="K42" s="4">
        <f t="shared" si="1"/>
        <v>5444.3</v>
      </c>
      <c r="L42" s="4">
        <v>26208.07</v>
      </c>
    </row>
    <row r="43" spans="1:12">
      <c r="A43" s="1">
        <v>37</v>
      </c>
      <c r="B43" s="2">
        <v>2010299406</v>
      </c>
      <c r="C43" s="2" t="s">
        <v>94</v>
      </c>
      <c r="D43" s="1" t="s">
        <v>95</v>
      </c>
      <c r="E43" s="3">
        <v>45714</v>
      </c>
      <c r="F43" s="3">
        <v>46268</v>
      </c>
      <c r="G43" s="4">
        <v>50000</v>
      </c>
      <c r="H43" s="4">
        <v>3142.14</v>
      </c>
      <c r="I43" s="1">
        <v>10</v>
      </c>
      <c r="J43" s="4">
        <v>3142.14</v>
      </c>
      <c r="K43" s="4">
        <f t="shared" si="1"/>
        <v>3142.14</v>
      </c>
      <c r="L43" s="4">
        <v>32017.94</v>
      </c>
    </row>
    <row r="44" spans="1:12">
      <c r="A44" s="1">
        <v>38</v>
      </c>
      <c r="B44" s="2">
        <v>2010310604</v>
      </c>
      <c r="C44" s="2" t="s">
        <v>96</v>
      </c>
      <c r="D44" s="1" t="s">
        <v>97</v>
      </c>
      <c r="E44" s="3">
        <v>45740</v>
      </c>
      <c r="F44" s="3">
        <v>46480</v>
      </c>
      <c r="G44" s="4">
        <v>70000</v>
      </c>
      <c r="H44" s="4">
        <v>3426.8</v>
      </c>
      <c r="I44" s="1">
        <v>18</v>
      </c>
      <c r="J44" s="4">
        <v>3426.8</v>
      </c>
      <c r="K44" s="4">
        <f t="shared" si="1"/>
        <v>3426.8</v>
      </c>
      <c r="L44" s="4">
        <v>54686.99</v>
      </c>
    </row>
    <row r="45" spans="1:12">
      <c r="A45" s="1">
        <v>39</v>
      </c>
      <c r="B45" s="2">
        <v>2010313298</v>
      </c>
      <c r="C45" s="2" t="s">
        <v>98</v>
      </c>
      <c r="D45" s="1" t="s">
        <v>99</v>
      </c>
      <c r="E45" s="3">
        <v>45744</v>
      </c>
      <c r="F45" s="3">
        <v>46298</v>
      </c>
      <c r="G45" s="4">
        <v>50000</v>
      </c>
      <c r="H45" s="4">
        <v>3139.47</v>
      </c>
      <c r="I45" s="1">
        <v>11</v>
      </c>
      <c r="J45" s="4">
        <v>3139.47</v>
      </c>
      <c r="K45" s="4">
        <f t="shared" si="1"/>
        <v>3139.47</v>
      </c>
      <c r="L45" s="4">
        <v>34678.870000000003</v>
      </c>
    </row>
    <row r="46" spans="1:12">
      <c r="A46" s="1">
        <v>40</v>
      </c>
      <c r="B46" s="2">
        <v>2010313301</v>
      </c>
      <c r="C46" s="2" t="s">
        <v>100</v>
      </c>
      <c r="D46" s="1" t="s">
        <v>101</v>
      </c>
      <c r="E46" s="3">
        <v>45744</v>
      </c>
      <c r="F46" s="3">
        <v>46298</v>
      </c>
      <c r="G46" s="4">
        <v>50000</v>
      </c>
      <c r="H46" s="4">
        <v>3139.47</v>
      </c>
      <c r="I46" s="1">
        <v>11</v>
      </c>
      <c r="J46" s="4">
        <v>3139.47</v>
      </c>
      <c r="K46" s="4">
        <f t="shared" si="1"/>
        <v>3139.47</v>
      </c>
      <c r="L46" s="4">
        <v>34678.870000000003</v>
      </c>
    </row>
    <row r="47" spans="1:12">
      <c r="A47" s="1">
        <v>41</v>
      </c>
      <c r="B47" s="2">
        <v>2010313317</v>
      </c>
      <c r="C47" s="2" t="s">
        <v>102</v>
      </c>
      <c r="D47" s="1" t="s">
        <v>103</v>
      </c>
      <c r="E47" s="3">
        <v>45744</v>
      </c>
      <c r="F47" s="3">
        <v>46115</v>
      </c>
      <c r="G47" s="4">
        <v>64000</v>
      </c>
      <c r="H47" s="4">
        <v>5799.93</v>
      </c>
      <c r="I47" s="1">
        <v>5</v>
      </c>
      <c r="J47" s="4">
        <v>5799.93</v>
      </c>
      <c r="K47" s="4">
        <f t="shared" si="1"/>
        <v>5799.93</v>
      </c>
      <c r="L47" s="4">
        <v>33291.29</v>
      </c>
    </row>
    <row r="48" spans="1:12">
      <c r="A48" s="1">
        <v>42</v>
      </c>
      <c r="B48" s="2">
        <v>2010331358</v>
      </c>
      <c r="C48" s="2" t="s">
        <v>104</v>
      </c>
      <c r="D48" s="1" t="s">
        <v>105</v>
      </c>
      <c r="E48" s="3">
        <v>45799</v>
      </c>
      <c r="F48" s="3">
        <v>46359</v>
      </c>
      <c r="G48" s="4">
        <v>50000</v>
      </c>
      <c r="H48" s="4">
        <v>3157.94</v>
      </c>
      <c r="I48" s="1">
        <v>14</v>
      </c>
      <c r="J48" s="4">
        <v>3157.94</v>
      </c>
      <c r="K48" s="4">
        <f t="shared" si="1"/>
        <v>3157.94</v>
      </c>
      <c r="L48" s="4">
        <v>40087.870000000003</v>
      </c>
    </row>
    <row r="49" spans="1:14">
      <c r="A49" s="1">
        <v>43</v>
      </c>
      <c r="B49" s="2">
        <v>2010332713</v>
      </c>
      <c r="C49" s="2" t="s">
        <v>106</v>
      </c>
      <c r="D49" s="1" t="s">
        <v>107</v>
      </c>
      <c r="E49" s="3">
        <v>45803</v>
      </c>
      <c r="F49" s="3">
        <v>46541</v>
      </c>
      <c r="G49" s="4">
        <v>50000</v>
      </c>
      <c r="H49" s="4">
        <v>2455.85</v>
      </c>
      <c r="I49" s="1">
        <v>20</v>
      </c>
      <c r="J49" s="4">
        <v>2455.85</v>
      </c>
      <c r="K49" s="4">
        <f t="shared" si="1"/>
        <v>2455.85</v>
      </c>
      <c r="L49" s="4">
        <v>42861.98</v>
      </c>
    </row>
    <row r="50" spans="1:14">
      <c r="A50" s="1">
        <v>44</v>
      </c>
      <c r="B50" s="2">
        <v>2010332721</v>
      </c>
      <c r="C50" s="2" t="s">
        <v>108</v>
      </c>
      <c r="D50" s="1" t="s">
        <v>109</v>
      </c>
      <c r="E50" s="3">
        <v>45803</v>
      </c>
      <c r="F50" s="3">
        <v>46541</v>
      </c>
      <c r="G50" s="4">
        <v>60000</v>
      </c>
      <c r="H50" s="4">
        <v>2947.02</v>
      </c>
      <c r="I50" s="1">
        <v>20</v>
      </c>
      <c r="J50" s="4">
        <v>2947.02</v>
      </c>
      <c r="K50" s="4">
        <f t="shared" si="1"/>
        <v>2947.02</v>
      </c>
      <c r="L50" s="4">
        <v>51434.38</v>
      </c>
    </row>
    <row r="51" spans="1:14">
      <c r="A51" s="1">
        <v>45</v>
      </c>
      <c r="B51" s="2">
        <v>2010333361</v>
      </c>
      <c r="C51" s="2" t="s">
        <v>110</v>
      </c>
      <c r="D51" s="1" t="s">
        <v>111</v>
      </c>
      <c r="E51" s="3">
        <v>45804</v>
      </c>
      <c r="F51" s="3">
        <v>46541</v>
      </c>
      <c r="G51" s="4">
        <v>70000</v>
      </c>
      <c r="H51" s="4">
        <v>3436.69</v>
      </c>
      <c r="I51" s="1">
        <v>20</v>
      </c>
      <c r="J51" s="4">
        <v>3436.69</v>
      </c>
      <c r="K51" s="4">
        <f t="shared" si="1"/>
        <v>3436.69</v>
      </c>
      <c r="L51" s="4">
        <v>59980.52</v>
      </c>
    </row>
    <row r="52" spans="1:14">
      <c r="A52" s="1">
        <v>46</v>
      </c>
      <c r="B52" s="2">
        <v>2010341585</v>
      </c>
      <c r="C52" s="2" t="s">
        <v>112</v>
      </c>
      <c r="D52" s="1" t="s">
        <v>113</v>
      </c>
      <c r="E52" s="3">
        <v>45827</v>
      </c>
      <c r="F52" s="3">
        <v>46571</v>
      </c>
      <c r="G52" s="4">
        <v>70000</v>
      </c>
      <c r="H52" s="4">
        <v>3448.72</v>
      </c>
      <c r="I52" s="1">
        <v>21</v>
      </c>
      <c r="J52" s="4">
        <v>3448.72</v>
      </c>
      <c r="K52" s="4">
        <f t="shared" si="1"/>
        <v>3448.72</v>
      </c>
      <c r="L52" s="4">
        <v>62801.5</v>
      </c>
    </row>
    <row r="53" spans="1:14">
      <c r="A53" s="1">
        <v>47</v>
      </c>
      <c r="B53" s="2">
        <v>2010341593</v>
      </c>
      <c r="C53" s="2" t="s">
        <v>114</v>
      </c>
      <c r="D53" s="1" t="s">
        <v>115</v>
      </c>
      <c r="E53" s="3">
        <v>45827</v>
      </c>
      <c r="F53" s="3">
        <v>46571</v>
      </c>
      <c r="G53" s="4">
        <v>74000</v>
      </c>
      <c r="H53" s="4">
        <v>3645.79</v>
      </c>
      <c r="I53" s="1">
        <v>21</v>
      </c>
      <c r="J53" s="4">
        <v>3645.79</v>
      </c>
      <c r="K53" s="4">
        <f t="shared" si="1"/>
        <v>3645.79</v>
      </c>
      <c r="L53" s="4">
        <v>66390.16</v>
      </c>
    </row>
    <row r="54" spans="1:14">
      <c r="A54" s="1">
        <v>48</v>
      </c>
      <c r="B54" s="2">
        <v>2010351278</v>
      </c>
      <c r="C54" s="2" t="s">
        <v>116</v>
      </c>
      <c r="D54" s="1" t="s">
        <v>117</v>
      </c>
      <c r="E54" s="3">
        <v>45853</v>
      </c>
      <c r="F54" s="3">
        <v>46602</v>
      </c>
      <c r="G54" s="4">
        <v>80000</v>
      </c>
      <c r="H54" s="4">
        <v>3948.27</v>
      </c>
      <c r="I54" s="1">
        <v>22</v>
      </c>
      <c r="J54" s="4">
        <v>3948.27</v>
      </c>
      <c r="K54" s="4">
        <f t="shared" si="1"/>
        <v>3948.27</v>
      </c>
      <c r="L54" s="4">
        <v>74848.19</v>
      </c>
    </row>
    <row r="55" spans="1:14">
      <c r="A55" s="1">
        <v>49</v>
      </c>
      <c r="B55" s="2">
        <v>2010357268</v>
      </c>
      <c r="C55" s="2" t="s">
        <v>118</v>
      </c>
      <c r="D55" s="1" t="s">
        <v>119</v>
      </c>
      <c r="E55" s="3">
        <v>45869</v>
      </c>
      <c r="F55" s="3">
        <v>46602</v>
      </c>
      <c r="G55" s="4">
        <v>80000</v>
      </c>
      <c r="H55" s="4">
        <v>3922.49</v>
      </c>
      <c r="I55" s="1">
        <v>22</v>
      </c>
      <c r="J55" s="4">
        <v>3922.49</v>
      </c>
      <c r="K55" s="4">
        <f t="shared" si="1"/>
        <v>3922.49</v>
      </c>
      <c r="L55" s="4">
        <v>74359.39</v>
      </c>
    </row>
    <row r="56" spans="1:14">
      <c r="A56" s="1">
        <v>50</v>
      </c>
      <c r="B56" s="2">
        <v>2010363198</v>
      </c>
      <c r="C56" s="2" t="s">
        <v>120</v>
      </c>
      <c r="D56" s="1" t="s">
        <v>121</v>
      </c>
      <c r="E56" s="3">
        <v>45888</v>
      </c>
      <c r="F56" s="3">
        <v>46633</v>
      </c>
      <c r="G56" s="4">
        <v>85000</v>
      </c>
      <c r="H56" s="4">
        <v>4187.7299999999996</v>
      </c>
      <c r="I56" s="1">
        <v>23</v>
      </c>
      <c r="J56" s="4">
        <v>4187.7299999999996</v>
      </c>
      <c r="K56" s="4">
        <f t="shared" si="1"/>
        <v>4187.7299999999996</v>
      </c>
      <c r="L56" s="4">
        <v>82475.259999999995</v>
      </c>
    </row>
    <row r="57" spans="1:14">
      <c r="A57" s="1">
        <v>51</v>
      </c>
      <c r="B57" s="2">
        <v>2010368653</v>
      </c>
      <c r="C57" s="2" t="s">
        <v>122</v>
      </c>
      <c r="D57" s="1" t="s">
        <v>123</v>
      </c>
      <c r="E57" s="3">
        <v>45908</v>
      </c>
      <c r="F57" s="3">
        <v>46633</v>
      </c>
      <c r="G57" s="4">
        <v>100000</v>
      </c>
      <c r="H57" s="4">
        <v>4885.92</v>
      </c>
      <c r="I57" s="1">
        <v>23</v>
      </c>
      <c r="J57" s="4">
        <v>4885.92</v>
      </c>
      <c r="K57" s="4">
        <f t="shared" si="1"/>
        <v>4885.92</v>
      </c>
      <c r="L57" s="4">
        <v>96225.71</v>
      </c>
    </row>
    <row r="58" spans="1:14">
      <c r="A58" s="1">
        <v>52</v>
      </c>
      <c r="B58" s="2">
        <v>2010370933</v>
      </c>
      <c r="C58" s="2" t="s">
        <v>124</v>
      </c>
      <c r="D58" s="1" t="s">
        <v>125</v>
      </c>
      <c r="E58" s="3">
        <v>45912</v>
      </c>
      <c r="F58" s="3">
        <v>47029</v>
      </c>
      <c r="G58" s="4">
        <v>250000</v>
      </c>
      <c r="H58" s="4">
        <v>8849.42</v>
      </c>
      <c r="I58" s="1">
        <v>36</v>
      </c>
      <c r="J58" s="4">
        <v>8849.42</v>
      </c>
      <c r="K58" s="4">
        <f t="shared" si="1"/>
        <v>8849.42</v>
      </c>
      <c r="L58" s="4">
        <v>250000</v>
      </c>
      <c r="N58" s="5" t="s">
        <v>25</v>
      </c>
    </row>
    <row r="59" spans="1:14">
      <c r="A59" s="1">
        <v>53</v>
      </c>
      <c r="B59" s="2">
        <v>2010371999</v>
      </c>
      <c r="C59" s="2" t="s">
        <v>126</v>
      </c>
      <c r="D59" s="1" t="s">
        <v>127</v>
      </c>
      <c r="E59" s="3">
        <v>45916</v>
      </c>
      <c r="F59" s="3">
        <v>46663</v>
      </c>
      <c r="G59" s="4">
        <v>70000</v>
      </c>
      <c r="H59" s="4">
        <v>3453.23</v>
      </c>
      <c r="I59" s="1">
        <v>24</v>
      </c>
      <c r="J59" s="4">
        <v>3453.23</v>
      </c>
      <c r="K59" s="4">
        <f>J59</f>
        <v>3453.23</v>
      </c>
      <c r="L59" s="4">
        <v>70000</v>
      </c>
      <c r="N59" s="5" t="s">
        <v>25</v>
      </c>
    </row>
    <row r="61" spans="1:14">
      <c r="J61" s="9" t="s">
        <v>128</v>
      </c>
      <c r="K61" s="4">
        <f>SUM(K7:K59)</f>
        <v>225929.87000000005</v>
      </c>
      <c r="L61" s="4">
        <f>SUM(L7:L60)</f>
        <v>3355079.67</v>
      </c>
    </row>
    <row r="68" spans="1:1">
      <c r="A68" s="1" t="s">
        <v>129</v>
      </c>
    </row>
    <row r="69" spans="1:1">
      <c r="A69" s="1" t="s">
        <v>130</v>
      </c>
    </row>
    <row r="70" spans="1:1">
      <c r="A70" s="1" t="s">
        <v>131</v>
      </c>
    </row>
  </sheetData>
  <sheetProtection password="CDCC" sheet="1" objects="1"/>
  <conditionalFormatting sqref="B1:C1048576">
    <cfRule type="duplicateValues" dxfId="3" priority="2"/>
    <cfRule type="duplicateValues" dxfId="2" priority="4"/>
  </conditionalFormatting>
  <conditionalFormatting sqref="D1:D1048576">
    <cfRule type="duplicateValues" dxfId="1" priority="1"/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jr_pasia</dc:creator>
  <cp:lastModifiedBy>John Carlos R. Pasia</cp:lastModifiedBy>
  <dcterms:created xsi:type="dcterms:W3CDTF">2025-10-09T06:21:20Z</dcterms:created>
  <dcterms:modified xsi:type="dcterms:W3CDTF">2025-10-30T05:24:38Z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1033-11.2.0.10176</vt:lpwstr>
  </property>
</Properties>
</file>